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shim/FCM/PARAGON/2112KM_PARAGON_1/"/>
    </mc:Choice>
  </mc:AlternateContent>
  <xr:revisionPtr revIDLastSave="0" documentId="13_ncr:1_{5528BD52-1572-7045-96AF-C5C95589FC2F}" xr6:coauthVersionLast="47" xr6:coauthVersionMax="47" xr10:uidLastSave="{00000000-0000-0000-0000-000000000000}"/>
  <bookViews>
    <workbookView xWindow="3680" yWindow="1860" windowWidth="63680" windowHeight="25820" tabRatio="500" xr2:uid="{00000000-000D-0000-FFFF-FFFF00000000}"/>
  </bookViews>
  <sheets>
    <sheet name="Cell Counts - PARAGON I" sheetId="33" r:id="rId1"/>
    <sheet name="Run Sheet - 20220130" sheetId="28" r:id="rId2"/>
    <sheet name="Sample List" sheetId="30" r:id="rId3"/>
    <sheet name="PrimaryCounts" sheetId="34" r:id="rId4"/>
    <sheet name="FlowjoRaw" sheetId="35" r:id="rId5"/>
    <sheet name="Scratch" sheetId="32" r:id="rId6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23" i="33" l="1"/>
  <c r="V24" i="33"/>
  <c r="V25" i="33"/>
  <c r="V26" i="33"/>
  <c r="Y24" i="33"/>
  <c r="Y25" i="33"/>
  <c r="Y26" i="33"/>
  <c r="AB24" i="33"/>
  <c r="P24" i="33" s="1"/>
  <c r="AB25" i="33"/>
  <c r="P25" i="33" s="1"/>
  <c r="AB26" i="33"/>
  <c r="P26" i="33" s="1"/>
  <c r="AM220" i="28"/>
  <c r="AM221" i="28"/>
  <c r="AM222" i="28"/>
  <c r="AM223" i="28"/>
  <c r="AM224" i="28"/>
  <c r="AM225" i="28"/>
  <c r="AM226" i="28"/>
  <c r="AM227" i="28"/>
  <c r="AM228" i="28"/>
  <c r="AM229" i="28"/>
  <c r="AM230" i="28"/>
  <c r="AM231" i="28"/>
  <c r="AM232" i="28"/>
  <c r="AM233" i="28"/>
  <c r="AM234" i="28"/>
  <c r="AB23" i="33"/>
  <c r="P23" i="33" s="1"/>
  <c r="Y23" i="33"/>
  <c r="AB22" i="33"/>
  <c r="P22" i="33" s="1"/>
  <c r="Y22" i="33"/>
  <c r="V22" i="33"/>
  <c r="AB21" i="33"/>
  <c r="P21" i="33" s="1"/>
  <c r="Y21" i="33"/>
  <c r="V21" i="33"/>
  <c r="AB20" i="33"/>
  <c r="P20" i="33" s="1"/>
  <c r="Y20" i="33"/>
  <c r="V20" i="33"/>
  <c r="AB19" i="33"/>
  <c r="P19" i="33" s="1"/>
  <c r="Y19" i="33"/>
  <c r="V19" i="33"/>
  <c r="AB18" i="33"/>
  <c r="P18" i="33" s="1"/>
  <c r="Y18" i="33"/>
  <c r="V18" i="33"/>
  <c r="AB17" i="33"/>
  <c r="P17" i="33" s="1"/>
  <c r="Y17" i="33"/>
  <c r="V17" i="33"/>
  <c r="AB16" i="33"/>
  <c r="P16" i="33" s="1"/>
  <c r="Y16" i="33"/>
  <c r="V16" i="33"/>
  <c r="AB15" i="33"/>
  <c r="P15" i="33" s="1"/>
  <c r="Y15" i="33"/>
  <c r="V15" i="33"/>
  <c r="AB14" i="33"/>
  <c r="P14" i="33" s="1"/>
  <c r="Y14" i="33"/>
  <c r="V14" i="33"/>
  <c r="AB13" i="33"/>
  <c r="P13" i="33" s="1"/>
  <c r="Y13" i="33"/>
  <c r="V13" i="33"/>
  <c r="AB12" i="33"/>
  <c r="P12" i="33" s="1"/>
  <c r="Y12" i="33"/>
  <c r="V12" i="33"/>
  <c r="AB11" i="33"/>
  <c r="P11" i="33" s="1"/>
  <c r="Y11" i="33"/>
  <c r="V11" i="33"/>
  <c r="AB10" i="33"/>
  <c r="P10" i="33" s="1"/>
  <c r="Y10" i="33"/>
  <c r="V10" i="33"/>
  <c r="AB9" i="33"/>
  <c r="P9" i="33" s="1"/>
  <c r="Y9" i="33"/>
  <c r="V9" i="33"/>
  <c r="K4" i="33"/>
  <c r="K23" i="33" s="1"/>
  <c r="K3" i="33"/>
  <c r="I21" i="33" s="1"/>
  <c r="I25" i="33" l="1"/>
  <c r="K26" i="33"/>
  <c r="K25" i="33"/>
  <c r="K24" i="33"/>
  <c r="I24" i="33"/>
  <c r="Q24" i="33" s="1"/>
  <c r="I26" i="33"/>
  <c r="Q26" i="33" s="1"/>
  <c r="O21" i="33"/>
  <c r="M21" i="33"/>
  <c r="Q21" i="33"/>
  <c r="I10" i="33"/>
  <c r="I12" i="33"/>
  <c r="I14" i="33"/>
  <c r="I16" i="33"/>
  <c r="Q16" i="33" s="1"/>
  <c r="I18" i="33"/>
  <c r="Q18" i="33" s="1"/>
  <c r="I20" i="33"/>
  <c r="Q20" i="33" s="1"/>
  <c r="I22" i="33"/>
  <c r="Q22" i="33" s="1"/>
  <c r="K10" i="33"/>
  <c r="K12" i="33"/>
  <c r="K14" i="33"/>
  <c r="K16" i="33"/>
  <c r="K18" i="33"/>
  <c r="K20" i="33"/>
  <c r="K22" i="33"/>
  <c r="I23" i="33"/>
  <c r="Q23" i="33" s="1"/>
  <c r="I9" i="33"/>
  <c r="I11" i="33"/>
  <c r="Q11" i="33" s="1"/>
  <c r="I13" i="33"/>
  <c r="I15" i="33"/>
  <c r="I17" i="33"/>
  <c r="Q17" i="33" s="1"/>
  <c r="I19" i="33"/>
  <c r="K9" i="33"/>
  <c r="K11" i="33"/>
  <c r="K13" i="33"/>
  <c r="K15" i="33"/>
  <c r="K17" i="33"/>
  <c r="K19" i="33"/>
  <c r="K21" i="33"/>
  <c r="S21" i="33" l="1"/>
  <c r="M26" i="33"/>
  <c r="S26" i="33" s="1"/>
  <c r="O26" i="33"/>
  <c r="O24" i="33"/>
  <c r="M24" i="33"/>
  <c r="S24" i="33" s="1"/>
  <c r="O25" i="33"/>
  <c r="M25" i="33"/>
  <c r="S25" i="33" s="1"/>
  <c r="Q25" i="33"/>
  <c r="O14" i="33"/>
  <c r="M14" i="33"/>
  <c r="S14" i="33" s="1"/>
  <c r="Q14" i="33"/>
  <c r="O12" i="33"/>
  <c r="M12" i="33"/>
  <c r="S12" i="33" s="1"/>
  <c r="O15" i="33"/>
  <c r="M15" i="33"/>
  <c r="S15" i="33" s="1"/>
  <c r="O10" i="33"/>
  <c r="M10" i="33"/>
  <c r="S10" i="33" s="1"/>
  <c r="O18" i="33"/>
  <c r="M18" i="33"/>
  <c r="S18" i="33" s="1"/>
  <c r="O16" i="33"/>
  <c r="M16" i="33"/>
  <c r="S16" i="33" s="1"/>
  <c r="M19" i="33"/>
  <c r="S19" i="33" s="1"/>
  <c r="O19" i="33"/>
  <c r="Q12" i="33"/>
  <c r="O11" i="33"/>
  <c r="M11" i="33"/>
  <c r="S11" i="33" s="1"/>
  <c r="O9" i="33"/>
  <c r="M9" i="33"/>
  <c r="S9" i="33" s="1"/>
  <c r="M17" i="33"/>
  <c r="S17" i="33" s="1"/>
  <c r="O17" i="33"/>
  <c r="M13" i="33"/>
  <c r="S13" i="33" s="1"/>
  <c r="O13" i="33"/>
  <c r="Q15" i="33"/>
  <c r="Q19" i="33"/>
  <c r="Q9" i="33"/>
  <c r="O23" i="33"/>
  <c r="M23" i="33"/>
  <c r="S23" i="33" s="1"/>
  <c r="O22" i="33"/>
  <c r="M22" i="33"/>
  <c r="S22" i="33" s="1"/>
  <c r="Q13" i="33"/>
  <c r="O20" i="33"/>
  <c r="M20" i="33"/>
  <c r="S20" i="33" s="1"/>
  <c r="Q10" i="33"/>
  <c r="AM104" i="28" l="1"/>
  <c r="AM105" i="28"/>
  <c r="AM106" i="28"/>
  <c r="AM83" i="28"/>
  <c r="AM84" i="28"/>
  <c r="AM85" i="28"/>
  <c r="AM86" i="28"/>
  <c r="AM87" i="28"/>
  <c r="AM88" i="28"/>
  <c r="AM89" i="28"/>
  <c r="AM90" i="28"/>
  <c r="AM91" i="28"/>
  <c r="AM92" i="28"/>
  <c r="AM93" i="28"/>
  <c r="AM94" i="28"/>
  <c r="AM95" i="28"/>
  <c r="AM96" i="28"/>
  <c r="AM97" i="28"/>
  <c r="AM98" i="28"/>
  <c r="AM99" i="28"/>
  <c r="AM100" i="28"/>
  <c r="AM101" i="28"/>
  <c r="AM102" i="28"/>
  <c r="AM103" i="28"/>
  <c r="AM202" i="28" l="1"/>
  <c r="AM203" i="28"/>
  <c r="AM204" i="28"/>
  <c r="AM205" i="28"/>
  <c r="AM206" i="28"/>
  <c r="AM207" i="28"/>
  <c r="AM208" i="28"/>
  <c r="AM209" i="28"/>
  <c r="AM210" i="28"/>
  <c r="AM211" i="28"/>
  <c r="AM212" i="28"/>
  <c r="AM213" i="28"/>
  <c r="AM214" i="28"/>
  <c r="AM215" i="28"/>
  <c r="AM216" i="28"/>
  <c r="AM217" i="28"/>
  <c r="AM218" i="28"/>
  <c r="AM219" i="28"/>
  <c r="AM201" i="28"/>
  <c r="AM67" i="28"/>
  <c r="AM68" i="28"/>
  <c r="AM69" i="28"/>
  <c r="AM70" i="28"/>
  <c r="AM71" i="28"/>
  <c r="AM72" i="28"/>
  <c r="AM73" i="28"/>
  <c r="AM74" i="28"/>
  <c r="AM75" i="28"/>
  <c r="AM76" i="28"/>
  <c r="AM77" i="28"/>
  <c r="AM78" i="28"/>
  <c r="AM79" i="28"/>
  <c r="AM80" i="28"/>
  <c r="AM81" i="28"/>
  <c r="AM82" i="28"/>
  <c r="AM51" i="28"/>
  <c r="AM52" i="28"/>
  <c r="AM53" i="28"/>
  <c r="AM54" i="28"/>
  <c r="AM55" i="28"/>
  <c r="AM56" i="28"/>
  <c r="AM57" i="28"/>
  <c r="AM58" i="28"/>
  <c r="AM59" i="28"/>
  <c r="AM60" i="28"/>
  <c r="AM61" i="28"/>
  <c r="AM62" i="28"/>
  <c r="AM63" i="28"/>
  <c r="AM64" i="28"/>
  <c r="AM65" i="28"/>
  <c r="AM66" i="28"/>
  <c r="AM50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36" i="28"/>
  <c r="AX12" i="28"/>
  <c r="AW12" i="28"/>
  <c r="AV12" i="28"/>
  <c r="AX11" i="28"/>
  <c r="AW11" i="28"/>
  <c r="AV11" i="28"/>
  <c r="AX10" i="28"/>
  <c r="AW10" i="28"/>
  <c r="AV10" i="28"/>
  <c r="AX9" i="28"/>
  <c r="AW9" i="28"/>
  <c r="AV9" i="28"/>
  <c r="AX8" i="28"/>
  <c r="AW8" i="28"/>
  <c r="AV8" i="28"/>
  <c r="AX7" i="28"/>
  <c r="AW7" i="28"/>
  <c r="AV7" i="28"/>
  <c r="AX6" i="28"/>
  <c r="AW6" i="28"/>
  <c r="AV6" i="28"/>
  <c r="AX5" i="28"/>
  <c r="AW5" i="28"/>
  <c r="AV5" i="28"/>
  <c r="AX4" i="28"/>
  <c r="AW4" i="28"/>
  <c r="AV4" i="28"/>
  <c r="B172" i="28" l="1"/>
  <c r="B173" i="28"/>
  <c r="B174" i="28"/>
  <c r="B164" i="28"/>
  <c r="B165" i="28"/>
  <c r="B166" i="28"/>
  <c r="B167" i="28"/>
  <c r="B168" i="28"/>
  <c r="B169" i="28"/>
  <c r="B170" i="28"/>
  <c r="B171" i="28"/>
  <c r="B305" i="28"/>
  <c r="B304" i="28"/>
  <c r="B303" i="28"/>
  <c r="B302" i="28"/>
  <c r="B301" i="28"/>
  <c r="B300" i="28"/>
  <c r="B299" i="28"/>
  <c r="B298" i="28"/>
  <c r="B297" i="28"/>
  <c r="B296" i="28"/>
  <c r="B295" i="28"/>
  <c r="B294" i="28"/>
  <c r="B293" i="28"/>
  <c r="B292" i="28"/>
  <c r="B291" i="28"/>
  <c r="B290" i="28"/>
  <c r="B289" i="28"/>
  <c r="B288" i="28"/>
  <c r="B287" i="28"/>
  <c r="B286" i="28"/>
  <c r="B285" i="28"/>
  <c r="B284" i="28"/>
  <c r="B283" i="28"/>
  <c r="B282" i="28"/>
  <c r="B281" i="28"/>
  <c r="B280" i="28"/>
  <c r="B279" i="28"/>
  <c r="B278" i="28"/>
  <c r="B277" i="28"/>
  <c r="B276" i="28"/>
  <c r="B275" i="28"/>
  <c r="B274" i="28"/>
  <c r="B273" i="28"/>
  <c r="B272" i="28"/>
  <c r="B271" i="28"/>
  <c r="B270" i="28"/>
  <c r="B269" i="28"/>
  <c r="B268" i="28"/>
  <c r="B267" i="28"/>
  <c r="B266" i="28"/>
  <c r="B265" i="28"/>
  <c r="B264" i="28"/>
  <c r="B263" i="28"/>
  <c r="B262" i="28"/>
  <c r="B261" i="28"/>
  <c r="B260" i="28"/>
  <c r="B259" i="28"/>
  <c r="B258" i="28"/>
  <c r="B257" i="28"/>
  <c r="B256" i="28"/>
  <c r="B255" i="28"/>
  <c r="B254" i="28"/>
  <c r="B253" i="28"/>
  <c r="B252" i="28"/>
  <c r="B251" i="28"/>
  <c r="B250" i="28"/>
  <c r="B249" i="28"/>
  <c r="B248" i="28"/>
  <c r="B247" i="28"/>
  <c r="B246" i="28"/>
  <c r="B245" i="28"/>
  <c r="B244" i="28"/>
  <c r="B243" i="28"/>
  <c r="B242" i="28"/>
  <c r="B241" i="28"/>
  <c r="B240" i="28"/>
  <c r="B239" i="28"/>
  <c r="B238" i="28"/>
  <c r="B237" i="28"/>
  <c r="B236" i="28"/>
  <c r="B235" i="28"/>
  <c r="B234" i="28"/>
  <c r="B233" i="28"/>
  <c r="B232" i="28"/>
  <c r="B231" i="28"/>
  <c r="B230" i="28"/>
  <c r="B229" i="28"/>
  <c r="B228" i="28"/>
  <c r="B227" i="28"/>
  <c r="B226" i="28"/>
  <c r="B225" i="28"/>
  <c r="B224" i="28"/>
  <c r="B223" i="28"/>
  <c r="B222" i="28"/>
  <c r="B221" i="28"/>
  <c r="B220" i="28"/>
  <c r="B219" i="28"/>
  <c r="B218" i="28"/>
  <c r="B217" i="28"/>
  <c r="B216" i="28"/>
  <c r="B215" i="28"/>
  <c r="B214" i="28"/>
  <c r="B213" i="28"/>
  <c r="B212" i="28"/>
  <c r="B211" i="28"/>
  <c r="B210" i="28"/>
  <c r="B209" i="28"/>
  <c r="B208" i="28"/>
  <c r="B207" i="28"/>
  <c r="B206" i="28"/>
  <c r="B205" i="28"/>
  <c r="B204" i="28"/>
  <c r="B203" i="28"/>
  <c r="B202" i="28"/>
  <c r="B201" i="28"/>
  <c r="B200" i="28"/>
  <c r="B199" i="28"/>
  <c r="B198" i="28"/>
  <c r="B197" i="28"/>
  <c r="B196" i="28"/>
  <c r="B163" i="28"/>
  <c r="B162" i="28"/>
  <c r="B161" i="28"/>
  <c r="B160" i="28"/>
  <c r="B159" i="28"/>
  <c r="B158" i="28"/>
  <c r="B157" i="28"/>
  <c r="B156" i="28"/>
  <c r="B155" i="28"/>
  <c r="B154" i="28"/>
  <c r="B153" i="28"/>
  <c r="B152" i="28"/>
  <c r="B151" i="28"/>
  <c r="B150" i="28"/>
  <c r="B149" i="28"/>
  <c r="B148" i="28"/>
  <c r="B147" i="28"/>
  <c r="B146" i="28"/>
  <c r="B145" i="28"/>
  <c r="B144" i="28"/>
  <c r="B143" i="28"/>
  <c r="B142" i="28"/>
  <c r="B141" i="28"/>
  <c r="B140" i="28"/>
  <c r="B139" i="28"/>
  <c r="B138" i="28"/>
  <c r="B137" i="28"/>
  <c r="B136" i="28"/>
  <c r="B135" i="28"/>
  <c r="B134" i="28"/>
  <c r="B133" i="28"/>
  <c r="B132" i="28"/>
  <c r="B131" i="28"/>
  <c r="B130" i="28"/>
  <c r="B129" i="28"/>
  <c r="B128" i="28"/>
  <c r="B127" i="28"/>
  <c r="B126" i="28"/>
  <c r="B125" i="28"/>
  <c r="B124" i="28"/>
  <c r="B123" i="28"/>
  <c r="B122" i="28"/>
  <c r="B121" i="28"/>
  <c r="B120" i="28"/>
  <c r="B119" i="28"/>
  <c r="B118" i="28"/>
  <c r="B117" i="28"/>
  <c r="B116" i="28"/>
  <c r="B115" i="28"/>
  <c r="B114" i="28"/>
</calcChain>
</file>

<file path=xl/sharedStrings.xml><?xml version="1.0" encoding="utf-8"?>
<sst xmlns="http://schemas.openxmlformats.org/spreadsheetml/2006/main" count="1900" uniqueCount="513">
  <si>
    <t>PRO</t>
  </si>
  <si>
    <t>SYN</t>
  </si>
  <si>
    <t>HET</t>
  </si>
  <si>
    <t>ul</t>
  </si>
  <si>
    <t>SYBR</t>
  </si>
  <si>
    <t>EMS</t>
  </si>
  <si>
    <t>QC</t>
  </si>
  <si>
    <t>FSC</t>
  </si>
  <si>
    <t>RED</t>
  </si>
  <si>
    <t>Sample</t>
  </si>
  <si>
    <t>Time Run (HST)</t>
  </si>
  <si>
    <t>Notes</t>
  </si>
  <si>
    <t>Stained Samples</t>
  </si>
  <si>
    <t>Unstained Samples</t>
  </si>
  <si>
    <t>Pre-Stain On</t>
  </si>
  <si>
    <t>Samples Stained, On Bench:</t>
  </si>
  <si>
    <t>CONF</t>
  </si>
  <si>
    <t>Cast</t>
  </si>
  <si>
    <t>SSC</t>
  </si>
  <si>
    <t>ORG</t>
  </si>
  <si>
    <t xml:space="preserve">GREEN </t>
  </si>
  <si>
    <t>TRIG</t>
  </si>
  <si>
    <t>Bottle</t>
  </si>
  <si>
    <t>HOT*</t>
  </si>
  <si>
    <t>Time</t>
  </si>
  <si>
    <t>Analyzed</t>
  </si>
  <si>
    <t>SYBR Batch</t>
  </si>
  <si>
    <t>BEADS</t>
  </si>
  <si>
    <t>FLUIDICS</t>
  </si>
  <si>
    <t>Sheath PSI</t>
  </si>
  <si>
    <t>Sample PSI</t>
  </si>
  <si>
    <t>Optics</t>
  </si>
  <si>
    <t>488 Percent Power</t>
  </si>
  <si>
    <t>Event rate</t>
  </si>
  <si>
    <t>Flow Rate (ul/min)</t>
  </si>
  <si>
    <t>TRIG Channel</t>
  </si>
  <si>
    <t>Boost:</t>
  </si>
  <si>
    <t>Sheath Vol (kg)</t>
  </si>
  <si>
    <t>ON</t>
  </si>
  <si>
    <t>0</t>
  </si>
  <si>
    <t>TYPE</t>
  </si>
  <si>
    <t>NUMBER</t>
  </si>
  <si>
    <t>Samples on Bench</t>
  </si>
  <si>
    <t>Stain Start</t>
  </si>
  <si>
    <t>Station</t>
  </si>
  <si>
    <t>SURF</t>
  </si>
  <si>
    <t>DCM</t>
  </si>
  <si>
    <t>SYBR on Bench (30min)</t>
  </si>
  <si>
    <t>SYBR On Ice (30min)</t>
  </si>
  <si>
    <t>Power</t>
  </si>
  <si>
    <t/>
  </si>
  <si>
    <t>488Only</t>
  </si>
  <si>
    <t>BDS</t>
  </si>
  <si>
    <t>BLNK</t>
  </si>
  <si>
    <t>1</t>
  </si>
  <si>
    <t>FSC Mean</t>
  </si>
  <si>
    <t>FSC CV</t>
  </si>
  <si>
    <t>RED CV</t>
  </si>
  <si>
    <t>RED Mean</t>
  </si>
  <si>
    <t>3</t>
  </si>
  <si>
    <t>Filename</t>
  </si>
  <si>
    <t>10</t>
  </si>
  <si>
    <t>Knob</t>
  </si>
  <si>
    <t>SURF-BDS</t>
  </si>
  <si>
    <t>DCM-BDS</t>
  </si>
  <si>
    <t>SURF-CELLS</t>
  </si>
  <si>
    <t>DCM-CELLS</t>
  </si>
  <si>
    <t>ZeroTrig</t>
  </si>
  <si>
    <t>Config Filename Saves</t>
  </si>
  <si>
    <t>70-90</t>
  </si>
  <si>
    <t>Cofig Num</t>
  </si>
  <si>
    <t>000</t>
  </si>
  <si>
    <t>Today</t>
  </si>
  <si>
    <t>SYBR Staining</t>
  </si>
  <si>
    <t>DCM-HighRes</t>
  </si>
  <si>
    <t xml:space="preserve">Shutdown: </t>
  </si>
  <si>
    <t>General Notes</t>
  </si>
  <si>
    <t>H325</t>
  </si>
  <si>
    <t>A</t>
  </si>
  <si>
    <t>B</t>
  </si>
  <si>
    <t>Vol.  1411 (ul)</t>
  </si>
  <si>
    <t>Vol.  1503 (ul)</t>
  </si>
  <si>
    <t>C</t>
  </si>
  <si>
    <t>RED-671</t>
  </si>
  <si>
    <t>14:40</t>
  </si>
  <si>
    <t>15:13</t>
  </si>
  <si>
    <t>FCM</t>
  </si>
  <si>
    <t>Rep</t>
  </si>
  <si>
    <t>Flowmeter Confirmation</t>
  </si>
  <si>
    <t>Pre</t>
  </si>
  <si>
    <t>Post</t>
  </si>
  <si>
    <t>00081</t>
  </si>
  <si>
    <t>00096</t>
  </si>
  <si>
    <t>Mass Vol</t>
  </si>
  <si>
    <t>% dif</t>
  </si>
  <si>
    <t>g</t>
  </si>
  <si>
    <t xml:space="preserve"> </t>
  </si>
  <si>
    <t>14:36</t>
  </si>
  <si>
    <t>OFF</t>
  </si>
  <si>
    <t>14:38</t>
  </si>
  <si>
    <t>120-140</t>
  </si>
  <si>
    <t>AL01.3</t>
  </si>
  <si>
    <t>130-150</t>
  </si>
  <si>
    <t>700-750</t>
  </si>
  <si>
    <t>16</t>
  </si>
  <si>
    <t>14</t>
  </si>
  <si>
    <t>550-600</t>
  </si>
  <si>
    <t>17:30</t>
  </si>
  <si>
    <t>17:42</t>
  </si>
  <si>
    <t>21:18</t>
  </si>
  <si>
    <t>DG5B-PRZ-M1-14</t>
  </si>
  <si>
    <t>21:27</t>
  </si>
  <si>
    <t>GRN</t>
  </si>
  <si>
    <t>SYBR-1</t>
  </si>
  <si>
    <t>SYBR-2</t>
  </si>
  <si>
    <t>MILLIQ</t>
  </si>
  <si>
    <t>1650-1750</t>
  </si>
  <si>
    <t>1600-1700</t>
  </si>
  <si>
    <t>Recorded flow rate was from the 1503 Unit, closest to the intake</t>
  </si>
  <si>
    <t>14:16</t>
  </si>
  <si>
    <t>BDS-3-LASER</t>
  </si>
  <si>
    <t>LASER</t>
  </si>
  <si>
    <t>14:41</t>
  </si>
  <si>
    <t>ORG 457</t>
  </si>
  <si>
    <t>RED-457</t>
  </si>
  <si>
    <t>14:50</t>
  </si>
  <si>
    <t>0-3</t>
  </si>
  <si>
    <t>16:21</t>
  </si>
  <si>
    <t>16:39</t>
  </si>
  <si>
    <t>11</t>
  </si>
  <si>
    <t>800-900</t>
  </si>
  <si>
    <t>17:00</t>
  </si>
  <si>
    <t>580-610</t>
  </si>
  <si>
    <t>17:20</t>
  </si>
  <si>
    <t>18:06</t>
  </si>
  <si>
    <t>4</t>
  </si>
  <si>
    <t>2</t>
  </si>
  <si>
    <t>19:24</t>
  </si>
  <si>
    <t>17</t>
  </si>
  <si>
    <t>13</t>
  </si>
  <si>
    <t>19:42</t>
  </si>
  <si>
    <t>5</t>
  </si>
  <si>
    <t>320-350</t>
  </si>
  <si>
    <t>20:36</t>
  </si>
  <si>
    <t>20:45</t>
  </si>
  <si>
    <t>Stock On Ice:</t>
  </si>
  <si>
    <t>21:21</t>
  </si>
  <si>
    <t>21:37</t>
  </si>
  <si>
    <t>Stock In Fridge</t>
  </si>
  <si>
    <t>Stock On Bench</t>
  </si>
  <si>
    <t>7</t>
  </si>
  <si>
    <t>Staining</t>
  </si>
  <si>
    <t xml:space="preserve">Samples on bench: </t>
  </si>
  <si>
    <t>Stock Mix Done:</t>
  </si>
  <si>
    <t>Staining Completed:</t>
  </si>
  <si>
    <t>108</t>
  </si>
  <si>
    <t>Pre-Stain On:</t>
  </si>
  <si>
    <t>The _001 was a false start</t>
  </si>
  <si>
    <t>700-740</t>
  </si>
  <si>
    <t>15:05</t>
  </si>
  <si>
    <t>Box</t>
  </si>
  <si>
    <t>QCs</t>
  </si>
  <si>
    <t>Run 1500 ul Ethanol at 40 PSI (Boost)</t>
  </si>
  <si>
    <t>Run 1000 ul MilliQ at 40 PSI (Boost)</t>
  </si>
  <si>
    <t>Run 2000ul CONTRAD 5% 40 PSI (Boost)</t>
  </si>
  <si>
    <t>Sheath PSI at 20</t>
  </si>
  <si>
    <t>Then Sheath PSI to 35 and BF for FlowMeter readout:</t>
  </si>
  <si>
    <t>Note: During previous day shutdowns, 1411 flow meter showed bad readings after Contrad boost, but 1503 unchanged.</t>
  </si>
  <si>
    <t>SYBR Mixing</t>
  </si>
  <si>
    <t>SYBR Batch:</t>
  </si>
  <si>
    <t xml:space="preserve">1. </t>
  </si>
  <si>
    <t>16:17</t>
  </si>
  <si>
    <t>16:28</t>
  </si>
  <si>
    <t>16:46</t>
  </si>
  <si>
    <t>16:49</t>
  </si>
  <si>
    <t>BDS 2</t>
  </si>
  <si>
    <t>BDS 1</t>
  </si>
  <si>
    <t>BDS 0</t>
  </si>
  <si>
    <t>18:00</t>
  </si>
  <si>
    <t>17:56</t>
  </si>
  <si>
    <t>BDS 3</t>
  </si>
  <si>
    <t>BDS3</t>
  </si>
  <si>
    <t>BDS 4</t>
  </si>
  <si>
    <t>21:15</t>
  </si>
  <si>
    <t>1450-1550</t>
  </si>
  <si>
    <t>Cruise</t>
  </si>
  <si>
    <t>GMT DATE</t>
  </si>
  <si>
    <t>Event Number</t>
  </si>
  <si>
    <t>Nisken</t>
  </si>
  <si>
    <t>Depth</t>
  </si>
  <si>
    <t>Bottle ID</t>
  </si>
  <si>
    <t>Comments</t>
  </si>
  <si>
    <t>KM2112</t>
  </si>
  <si>
    <t xml:space="preserve">FCM sampled from all CHL bottles on this cast prior to filtration </t>
  </si>
  <si>
    <t>Niskin 11 did not trip</t>
  </si>
  <si>
    <t>some mix up in cast numbers around this cast</t>
  </si>
  <si>
    <t>niskin 10 was tapped before chl sampling, and 4 bottles were tripped at 45m hence the shift in numbers</t>
  </si>
  <si>
    <t>20220131_BDS-SURF-488Only_001.fcs</t>
  </si>
  <si>
    <t>20220131_BDS-SURF-000_002.fcs</t>
  </si>
  <si>
    <t>20220131_BLNK-SURF-ZeroTrig_001.fcs</t>
  </si>
  <si>
    <t>14:23</t>
  </si>
  <si>
    <t>Run Duration: 3:14.27</t>
  </si>
  <si>
    <t>20220131_BLNK-SURF-0_001.fcs</t>
  </si>
  <si>
    <t>14:27</t>
  </si>
  <si>
    <t>Run Duration: 3:31.12</t>
  </si>
  <si>
    <t>20220131_MILLIQ-SURF-0_001.fcs</t>
  </si>
  <si>
    <t>14:31</t>
  </si>
  <si>
    <t>2-5</t>
  </si>
  <si>
    <t>20220131_BDS-SURF-0_001.fcs</t>
  </si>
  <si>
    <t>20220131_BDS-DCM-0_001.fcs</t>
  </si>
  <si>
    <t>20220131_H325-QC-EMS-DCM-A_001.fcs</t>
  </si>
  <si>
    <t>310-330</t>
  </si>
  <si>
    <t>20220131_H325-QC-EMS-DCM-B_001.fcs</t>
  </si>
  <si>
    <t>Double peaking in bead pop.</t>
  </si>
  <si>
    <t>14:45</t>
  </si>
  <si>
    <t>370-400</t>
  </si>
  <si>
    <t>20220131_H325-QC-EMS-DCM-C_001.fcs</t>
  </si>
  <si>
    <t>20220131_H325-QC-EMS-SURF-A_001.fcs</t>
  </si>
  <si>
    <t>14:56</t>
  </si>
  <si>
    <t>20220131_H325-QC-EMS-SURF-B_001.fcs</t>
  </si>
  <si>
    <t>15:00</t>
  </si>
  <si>
    <t>20220131_H325-QC-EMS-SURF-C_001.fcs</t>
  </si>
  <si>
    <t>SURF-LowGain</t>
  </si>
  <si>
    <t>20220131_H325-QC-EMS-SURF-A-2_002.fcs</t>
  </si>
  <si>
    <t>15:17</t>
  </si>
  <si>
    <t>350-380</t>
  </si>
  <si>
    <t>SURF-LowGain-2</t>
  </si>
  <si>
    <t>15:24</t>
  </si>
  <si>
    <t>20220131_H325-QC-EMS-SURF-B-2_001.fcs</t>
  </si>
  <si>
    <t>15:35</t>
  </si>
  <si>
    <t>SURF-671</t>
  </si>
  <si>
    <t>20220131_H325-QC-EMS-SURF-C_002.fcs</t>
  </si>
  <si>
    <t>Forgot to add the -2</t>
  </si>
  <si>
    <t>Worked to tighten signal. Now running the 671 laser.</t>
  </si>
  <si>
    <t>15:54</t>
  </si>
  <si>
    <t>20220131_BDS-SURF-1_001.fcs</t>
  </si>
  <si>
    <t>140-180</t>
  </si>
  <si>
    <t>Samples out of freezer: 12:31</t>
  </si>
  <si>
    <t>Bead spikes complete and samples in fridge: 15:40</t>
  </si>
  <si>
    <t>BDS 000</t>
  </si>
  <si>
    <t>CRN</t>
  </si>
  <si>
    <t>Dup</t>
  </si>
  <si>
    <t>20220131_BDS-SURF-2_001.fcs</t>
  </si>
  <si>
    <t>750-810</t>
  </si>
  <si>
    <t>20220131_KM2112-02-02-16-B_001.fcs</t>
  </si>
  <si>
    <t>20220131_KM2112-02-02-16-A_001.fcs</t>
  </si>
  <si>
    <t>SURF-671-KM2112-C1</t>
  </si>
  <si>
    <t>I ran the Surface from each cast first to dial in the KM2112-C1 Gains</t>
  </si>
  <si>
    <t>16:35</t>
  </si>
  <si>
    <t>20220131_KM2112-02-38-17-A_001.fcs</t>
  </si>
  <si>
    <t>20220131_KM2112-02-24-16-B_001.fcs</t>
  </si>
  <si>
    <t>870-900</t>
  </si>
  <si>
    <t>20220131_KM2112-02-38-17-B_001.fcs</t>
  </si>
  <si>
    <t>20220131_KM2112-02-01-13-A_001.fcs</t>
  </si>
  <si>
    <t>16:56</t>
  </si>
  <si>
    <t>Accidentally started as bottle 01. Beads double peaked. Incorrect cast number on filename. Says -02,should be -01</t>
  </si>
  <si>
    <t>670-710</t>
  </si>
  <si>
    <t>20220131_KM2112-02-01-13-B_001.fcs</t>
  </si>
  <si>
    <t>20220131_KM2112-02-01-10-A_001.fcs</t>
  </si>
  <si>
    <t>17:06</t>
  </si>
  <si>
    <t>720-760</t>
  </si>
  <si>
    <t>17:10</t>
  </si>
  <si>
    <t>20220131_KM2112-02-01-10-B_001.fcs</t>
  </si>
  <si>
    <t>20220131_KM2112-02-01-07-A_001.fcs</t>
  </si>
  <si>
    <t>17:16</t>
  </si>
  <si>
    <t>18:45?</t>
  </si>
  <si>
    <t>20220131_KM2112-02-01-07-B_001.fcs</t>
  </si>
  <si>
    <t>20220131_KM2112-02-01-04-A_001.fcs</t>
  </si>
  <si>
    <t>17:27</t>
  </si>
  <si>
    <t>20220131_KM2112-02-01-04-B_001.fcs</t>
  </si>
  <si>
    <t>20220131_KM2112-02-24-16-A_002.fcs</t>
  </si>
  <si>
    <t>17:38</t>
  </si>
  <si>
    <t>20220131_KM2112-02-01-01-A_002.fcs</t>
  </si>
  <si>
    <t>This is correct, the _001 was done earlier and wrong</t>
  </si>
  <si>
    <t>480-510</t>
  </si>
  <si>
    <t>20220131_KM2112-02-01-01-B_001.fcs</t>
  </si>
  <si>
    <t>20220131_BDS-SURF-3_001.fcs</t>
  </si>
  <si>
    <t>17:49</t>
  </si>
  <si>
    <t>90-110</t>
  </si>
  <si>
    <t>Still minor double peaking, no tighten</t>
  </si>
  <si>
    <t>17:53</t>
  </si>
  <si>
    <t>20220131_KM2112-02-24-13-A_001.fcs</t>
  </si>
  <si>
    <t>20220131_KM2112-02-24-13-B_001.fcs</t>
  </si>
  <si>
    <t>20220131_KM2112-02-24-10-A_001.fcs</t>
  </si>
  <si>
    <t>18:03</t>
  </si>
  <si>
    <t>750-800</t>
  </si>
  <si>
    <t>20220131_KM2112-02-24-10-B_001.fcs</t>
  </si>
  <si>
    <t>20220131_KM2112-02-24-07-A_001.fcs</t>
  </si>
  <si>
    <t>18:13</t>
  </si>
  <si>
    <t>650-680</t>
  </si>
  <si>
    <t>Reducing the B Volumes for time</t>
  </si>
  <si>
    <t>20220131_KM2112-02-24-07-B_001.fcs</t>
  </si>
  <si>
    <t>18:16</t>
  </si>
  <si>
    <t>20220131_KM2112-02-24-04-A_001.fcs</t>
  </si>
  <si>
    <t>18:23</t>
  </si>
  <si>
    <t>450-480</t>
  </si>
  <si>
    <t>20220131_KM2112-02-24-04-B_001.fcs</t>
  </si>
  <si>
    <t>18:26</t>
  </si>
  <si>
    <t>20220131_KM2112-02-24-01-A_001.fcs</t>
  </si>
  <si>
    <t>18:32</t>
  </si>
  <si>
    <t>380-420</t>
  </si>
  <si>
    <t>20220131_KM2112-02-24-01-B_001.fcs</t>
  </si>
  <si>
    <t>18:36</t>
  </si>
  <si>
    <t>20220131_BDS-SURF-4_001.fcs</t>
  </si>
  <si>
    <t>18:57</t>
  </si>
  <si>
    <t>18:59</t>
  </si>
  <si>
    <t>20220131_KM2112-02-38-14-B_001.fcs</t>
  </si>
  <si>
    <t>720-750</t>
  </si>
  <si>
    <t>20220131_KM2112-02-38-14-A_001.fcs</t>
  </si>
  <si>
    <t>19:03</t>
  </si>
  <si>
    <t>20220131_KM2112-02-38-11-A_001.fcs</t>
  </si>
  <si>
    <t>19:09</t>
  </si>
  <si>
    <t>20220131_KM2112-02-38-11-B_001.fcs</t>
  </si>
  <si>
    <t>19:14</t>
  </si>
  <si>
    <t>20220131_KM2112-02-38-07-A_001.fcs</t>
  </si>
  <si>
    <t>19:20</t>
  </si>
  <si>
    <t>780-820</t>
  </si>
  <si>
    <t>FSC gain could be too low, gonna run with it though</t>
  </si>
  <si>
    <t>No Tighten</t>
  </si>
  <si>
    <t>20220131_KM2112-02-38-07-B_001.fcs</t>
  </si>
  <si>
    <t>20220131_KM2112-02-38-04-A_001.fcs</t>
  </si>
  <si>
    <t>19:30</t>
  </si>
  <si>
    <t>630-680</t>
  </si>
  <si>
    <t>20220131_KM2112-02-38-04-B_001.fcs</t>
  </si>
  <si>
    <t>19:33</t>
  </si>
  <si>
    <t>20220131_KM2112-02-38-01-A_001.fcs</t>
  </si>
  <si>
    <t>19:39</t>
  </si>
  <si>
    <t>450-490</t>
  </si>
  <si>
    <t>20220131_KM2112-02-38-01-B_001.fcs</t>
  </si>
  <si>
    <t>20220131_BDS-SURF-5_001.fcs</t>
  </si>
  <si>
    <t>19:48</t>
  </si>
  <si>
    <t>20220131s_BLNK-SYBR-2_001.fcs</t>
  </si>
  <si>
    <t>20220131_SYBR-2.xml</t>
  </si>
  <si>
    <t>1.64</t>
  </si>
  <si>
    <t>6.73</t>
  </si>
  <si>
    <t>20:31</t>
  </si>
  <si>
    <t>710-750</t>
  </si>
  <si>
    <t>Run Duration: 1:29.42</t>
  </si>
  <si>
    <t>20220131s_MILLIQ-SYBR-2_001.fcs</t>
  </si>
  <si>
    <t>20:34</t>
  </si>
  <si>
    <t>780-830</t>
  </si>
  <si>
    <t>20220131s_H325-QC-EMS-DCM-A_001.fcs</t>
  </si>
  <si>
    <t>20220131s_H325-QC-EMS-DCM-B_001.fcs</t>
  </si>
  <si>
    <t>20:39</t>
  </si>
  <si>
    <t>20220131s_H325-QC-EMS-DCM-C_001.fcs</t>
  </si>
  <si>
    <t>20:42</t>
  </si>
  <si>
    <t>1400-1450</t>
  </si>
  <si>
    <t>20220131s_H325-QC-EMS-SURF-A_001.fcs</t>
  </si>
  <si>
    <t>20220131s_H325-QC-EMS-SURF-B_001.fcs</t>
  </si>
  <si>
    <t>20:48</t>
  </si>
  <si>
    <t>20220131s_H325-QC-EMS-SURF-C_001.fcs</t>
  </si>
  <si>
    <t>20:50</t>
  </si>
  <si>
    <t>20220131s_KM2112-02-01-16_001.fcs</t>
  </si>
  <si>
    <t>20:53</t>
  </si>
  <si>
    <t>20220131s_KM2112-02-01-13_001.fcs</t>
  </si>
  <si>
    <t>20:56</t>
  </si>
  <si>
    <t>20220131s_KM2112-02-01-10_001.fcs</t>
  </si>
  <si>
    <t>20:58</t>
  </si>
  <si>
    <t>20220131s_KM2112-02-01-07_001.fcs</t>
  </si>
  <si>
    <t>20:59</t>
  </si>
  <si>
    <t>20220131s_KM2112-02-24-16_001.fcs</t>
  </si>
  <si>
    <t>21:04</t>
  </si>
  <si>
    <t>20220131s_KM2112-02-24-13_001.fcs</t>
  </si>
  <si>
    <t>21:07</t>
  </si>
  <si>
    <t>20220131s_KM2112-02-24-10_001.fcs</t>
  </si>
  <si>
    <t>21:10</t>
  </si>
  <si>
    <t>20220131s_KM2112-02-24-07_001.fcs</t>
  </si>
  <si>
    <t>21:13</t>
  </si>
  <si>
    <t>20220131s_KM2112-02-38-17_001.fcs</t>
  </si>
  <si>
    <t>20220131s_KM2112-02-38-14_001.fcs</t>
  </si>
  <si>
    <t>20220131s_KM2112-02-38-11_001.fcs</t>
  </si>
  <si>
    <t>20220131s_KM2112-02-38-07_001.fcs</t>
  </si>
  <si>
    <t>20220131s_KM2112-02-01-04_001.fcs</t>
  </si>
  <si>
    <t>Doing the -04 and then -01 last because they are deep = extra stain?</t>
  </si>
  <si>
    <t>20220131s_KM2112-02-24-04_001.fcs</t>
  </si>
  <si>
    <t>21:29</t>
  </si>
  <si>
    <t>20220131s_KM2112-02-38-04_001.fcs</t>
  </si>
  <si>
    <t>21:24</t>
  </si>
  <si>
    <t>21:32</t>
  </si>
  <si>
    <t>20220131s_KM2112-02-01-01_001.fcs</t>
  </si>
  <si>
    <t>21:34</t>
  </si>
  <si>
    <t>20220131s_KM2112-02-24-01_001.fcs</t>
  </si>
  <si>
    <t>20220131s_KM2112-02-38-01_001.fcs</t>
  </si>
  <si>
    <t>Re-running sdeeps to see if longer stain time changed anything?</t>
  </si>
  <si>
    <t>21:40</t>
  </si>
  <si>
    <t>21:42</t>
  </si>
  <si>
    <t>20220131s_H325-QC-EMS-DCM-B-2_001.fcs</t>
  </si>
  <si>
    <t>20220131s_H325-QC-EMS-DCM-A-2_001.fcs</t>
  </si>
  <si>
    <t>21:45</t>
  </si>
  <si>
    <t>20220131s_H325-QC-EMS-DCM-C-2_001.fcs</t>
  </si>
  <si>
    <t>21:48</t>
  </si>
  <si>
    <t>KM2112-2-1-16--A</t>
  </si>
  <si>
    <t>KM2112-2-1-16--B</t>
  </si>
  <si>
    <t>KM2112-2-1-13--A</t>
  </si>
  <si>
    <t>KM2112-2-1-13--B</t>
  </si>
  <si>
    <t>KM2112-2-1-10--A</t>
  </si>
  <si>
    <t>KM2112-2-1-10--B</t>
  </si>
  <si>
    <t>KM2112-2-1-7--A</t>
  </si>
  <si>
    <t>KM2112-2-1-7--B</t>
  </si>
  <si>
    <t>KM2112-2-1-4--A</t>
  </si>
  <si>
    <t>KM2112-2-1-4--B</t>
  </si>
  <si>
    <t>KM2112-2-1-1--A</t>
  </si>
  <si>
    <t>KM2112-2-1-1--B</t>
  </si>
  <si>
    <t>KM2112-2-24-16--A</t>
  </si>
  <si>
    <t>KM2112-2-24-16--B</t>
  </si>
  <si>
    <t>KM2112-2-24-13--A</t>
  </si>
  <si>
    <t>KM2112-2-24-13--B</t>
  </si>
  <si>
    <t>KM2112-2-24-10--A</t>
  </si>
  <si>
    <t>KM2112-2-24-10--B</t>
  </si>
  <si>
    <t>KM2112-2-24-7--A</t>
  </si>
  <si>
    <t>KM2112-2-24-7--B</t>
  </si>
  <si>
    <t>KM2112-2-24-4--A</t>
  </si>
  <si>
    <t>KM2112-2-24-4--B</t>
  </si>
  <si>
    <t>KM2112-2-24-1--A</t>
  </si>
  <si>
    <t>KM2112-2-24-1--B</t>
  </si>
  <si>
    <t>KM2112-2-38-17--A</t>
  </si>
  <si>
    <t>KM2112-2-38-17--B</t>
  </si>
  <si>
    <t>KM2112-2-38-14--A</t>
  </si>
  <si>
    <t>KM2112-2-38-14--B</t>
  </si>
  <si>
    <t>KM2112-2-38-11--A</t>
  </si>
  <si>
    <t>KM2112-2-38-11--B</t>
  </si>
  <si>
    <t>KM2112-2-38-7--A</t>
  </si>
  <si>
    <t>KM2112-2-38-7--B</t>
  </si>
  <si>
    <t>KM2112-2-38-4--A</t>
  </si>
  <si>
    <t>KM2112-2-38-4--B</t>
  </si>
  <si>
    <t>KM2112-2-38-1--A</t>
  </si>
  <si>
    <t>KM2112-2-38-1--B</t>
  </si>
  <si>
    <t>Analyzed*</t>
  </si>
  <si>
    <t>Sampled*</t>
  </si>
  <si>
    <t>Analyst*</t>
  </si>
  <si>
    <t>Dilutions</t>
  </si>
  <si>
    <t>PFA*</t>
  </si>
  <si>
    <t>1um Beads*</t>
  </si>
  <si>
    <t>SYBR*</t>
  </si>
  <si>
    <t>Final Factor</t>
  </si>
  <si>
    <t>Min Cell Count</t>
  </si>
  <si>
    <t>PEUK</t>
  </si>
  <si>
    <t>Bead Type</t>
  </si>
  <si>
    <t>2022.02.02</t>
  </si>
  <si>
    <t>ul/ml</t>
  </si>
  <si>
    <t>Unstained:</t>
  </si>
  <si>
    <t>Batch</t>
  </si>
  <si>
    <t>Asterisk Indicate User Entered Data</t>
  </si>
  <si>
    <t xml:space="preserve">Stained: </t>
  </si>
  <si>
    <t>Metadata</t>
  </si>
  <si>
    <t>Unstained Volume</t>
  </si>
  <si>
    <t>Stained Volume</t>
  </si>
  <si>
    <t>Station*</t>
  </si>
  <si>
    <t>Cast*</t>
  </si>
  <si>
    <t>Btl*</t>
  </si>
  <si>
    <t>Rep*</t>
  </si>
  <si>
    <t>Depth*</t>
  </si>
  <si>
    <t>Measured*</t>
  </si>
  <si>
    <t>Corrected</t>
  </si>
  <si>
    <t>Count*</t>
  </si>
  <si>
    <t>Conc</t>
  </si>
  <si>
    <t>PRO*</t>
  </si>
  <si>
    <t>BEAD*</t>
  </si>
  <si>
    <t>Ratio</t>
  </si>
  <si>
    <t>PEUKS TOT</t>
  </si>
  <si>
    <t>#</t>
  </si>
  <si>
    <t>m</t>
  </si>
  <si>
    <t># cells</t>
  </si>
  <si>
    <t>cells/ml</t>
  </si>
  <si>
    <t>Mean</t>
  </si>
  <si>
    <t>Pro/Bead*100</t>
  </si>
  <si>
    <t>Unstained</t>
  </si>
  <si>
    <t>Stained</t>
  </si>
  <si>
    <t>Chart Titles:</t>
  </si>
  <si>
    <t>KM2112-2-1-16---S</t>
  </si>
  <si>
    <t>KM2112-2-1-13---S</t>
  </si>
  <si>
    <t>KM2112-2-1-10---S</t>
  </si>
  <si>
    <t>KM2112-2-1-7---S</t>
  </si>
  <si>
    <t>KM2112-2-1-4---S</t>
  </si>
  <si>
    <t>KM2112-2-1-1---S</t>
  </si>
  <si>
    <t>KM2112-2-24-16---S</t>
  </si>
  <si>
    <t>KM2112-2-24-13---S</t>
  </si>
  <si>
    <t>KM2112-2-24-10---S</t>
  </si>
  <si>
    <t>KM2112-2-24-7---S</t>
  </si>
  <si>
    <t>KM2112-2-24-4---S</t>
  </si>
  <si>
    <t>KM2112-2-24-1---S</t>
  </si>
  <si>
    <t>KM2112-2-38-17---S</t>
  </si>
  <si>
    <t>KM2112-2-38-14---S</t>
  </si>
  <si>
    <t>KM2112-2-38-11---S</t>
  </si>
  <si>
    <t>KM2112-2-38-7---S</t>
  </si>
  <si>
    <t>KM2112-2-38-4---S</t>
  </si>
  <si>
    <t>KM2112-2-38-1---S</t>
  </si>
  <si>
    <t>Datetime*</t>
  </si>
  <si>
    <t>CRN*</t>
  </si>
  <si>
    <t>Count</t>
  </si>
  <si>
    <t>PEUK LG*</t>
  </si>
  <si>
    <t>PEUK SML*</t>
  </si>
  <si>
    <t>S2C1</t>
  </si>
  <si>
    <t>S2C24</t>
  </si>
  <si>
    <t>S2C38</t>
  </si>
  <si>
    <t>SD</t>
  </si>
  <si>
    <t>n/a</t>
  </si>
  <si>
    <t>20220131_KM2112-02-24-16-A_001.fcs</t>
  </si>
  <si>
    <t>20220131_KM2112-02-24-07-B_002.fcs</t>
  </si>
  <si>
    <t>20220131_KM2112-02-01-16-B_001.fcs</t>
  </si>
  <si>
    <t>20220131_KM2112-02-01-16-A_001.fcs</t>
  </si>
  <si>
    <t>20220131_KM2112-02-01-01-A_001.fcs</t>
  </si>
  <si>
    <t>SYBR_GRN_vs_FSC | Count</t>
  </si>
  <si>
    <t>peuks_and_beads_RED_vs_FSC/B10_ORG_vs_FSC | Mean (RED-488 692_40 :: null)</t>
  </si>
  <si>
    <t>pro_RED_vs_FSC/PRO_ORG_vs_FSC | Mean (RED-488 692_40 :: null)</t>
  </si>
  <si>
    <t>peuks_and_beads_RED_vs_FSC/B10_ORG_vs_FSC | Mean (FSC-488 :: null)</t>
  </si>
  <si>
    <t>pro_RED_vs_FSC/PRO_ORG_vs_FSC | Mean (FSC-488 :: null)</t>
  </si>
  <si>
    <t>peuks_and_beads_RED_vs_FSC/ELG_ORG_vs_FSC | Count</t>
  </si>
  <si>
    <t>peuks_and_beads_RED_vs_FSC/ESM_ORG_vs_FSC | Count</t>
  </si>
  <si>
    <t>syn_ORG_vs_GRN/SYN_RED_vs_FSC | Count</t>
  </si>
  <si>
    <t>pro_RED_vs_FSC/PRO_ORG_vs_FSC | Count</t>
  </si>
  <si>
    <t>Spherotech Ultra Rainbow 1.00um (Cat. No. URFP-10-5)</t>
  </si>
  <si>
    <t>AL01.5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</si>
</sst>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h:mm;@"/>
    <numFmt numFmtId="166" formatCode="0.0"/>
    <numFmt numFmtId="167" formatCode="0.0000"/>
  </numFmts>
  <fonts count="5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name val="Calibri"/>
      <family val="2"/>
      <scheme val="minor"/>
    </font>
    <font>
      <sz val="12"/>
      <color rgb="FF0BB12B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 tint="-0.1499984740745262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1"/>
      <color rgb="FF00DE34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7D14D"/>
      <name val="Calibri"/>
      <family val="2"/>
      <scheme val="minor"/>
    </font>
    <font>
      <sz val="11"/>
      <color rgb="FF07D14D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2"/>
      <color rgb="FF00DE34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D9D9D9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DE34"/>
      <name val="Calibri"/>
      <family val="2"/>
      <scheme val="minor"/>
    </font>
    <font>
      <sz val="14"/>
      <color theme="0" tint="-0.1499984740745262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rgb="FF0BB12B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b/>
      <sz val="12"/>
      <color rgb="FF07D14D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theme="1" tint="0.34998626667073579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" fontId="3" fillId="0" borderId="0" applyProtection="0">
      <alignment horizontal="center"/>
    </xf>
    <xf numFmtId="0" fontId="8" fillId="0" borderId="0" applyBorder="0" applyProtection="0">
      <alignment horizontal="center"/>
    </xf>
    <xf numFmtId="0" fontId="7" fillId="2" borderId="0" applyNumberFormat="0" applyFont="0" applyBorder="0" applyAlignment="0" applyProtection="0"/>
    <xf numFmtId="0" fontId="1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38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0" xfId="19" applyFont="1"/>
    <xf numFmtId="0" fontId="11" fillId="0" borderId="0" xfId="19"/>
    <xf numFmtId="49" fontId="11" fillId="0" borderId="0" xfId="19" applyNumberFormat="1" applyAlignment="1">
      <alignment horizontal="center" vertical="center"/>
    </xf>
    <xf numFmtId="2" fontId="11" fillId="0" borderId="0" xfId="19" applyNumberFormat="1" applyAlignment="1">
      <alignment horizontal="center"/>
    </xf>
    <xf numFmtId="2" fontId="11" fillId="0" borderId="0" xfId="19" applyNumberFormat="1" applyAlignment="1">
      <alignment horizontal="left" vertical="center" wrapText="1"/>
    </xf>
    <xf numFmtId="2" fontId="11" fillId="0" borderId="0" xfId="19" applyNumberFormat="1" applyAlignment="1">
      <alignment horizontal="center" vertical="center"/>
    </xf>
    <xf numFmtId="49" fontId="11" fillId="0" borderId="0" xfId="19" applyNumberFormat="1" applyAlignment="1">
      <alignment vertical="center"/>
    </xf>
    <xf numFmtId="49" fontId="2" fillId="0" borderId="0" xfId="19" applyNumberFormat="1" applyFont="1" applyAlignment="1">
      <alignment horizontal="center" vertical="center"/>
    </xf>
    <xf numFmtId="49" fontId="11" fillId="0" borderId="0" xfId="19" applyNumberFormat="1" applyAlignment="1">
      <alignment horizontal="left" vertical="top" wrapText="1"/>
    </xf>
    <xf numFmtId="0" fontId="11" fillId="0" borderId="0" xfId="19" applyAlignment="1">
      <alignment horizontal="center" vertical="center"/>
    </xf>
    <xf numFmtId="0" fontId="11" fillId="0" borderId="0" xfId="19" applyAlignment="1">
      <alignment wrapText="1"/>
    </xf>
    <xf numFmtId="166" fontId="11" fillId="0" borderId="0" xfId="19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11" fillId="0" borderId="0" xfId="19" applyNumberFormat="1" applyAlignment="1">
      <alignment horizontal="center" vertical="center"/>
    </xf>
    <xf numFmtId="0" fontId="10" fillId="0" borderId="0" xfId="13"/>
    <xf numFmtId="0" fontId="11" fillId="3" borderId="0" xfId="19" applyFill="1" applyAlignment="1">
      <alignment horizontal="center" vertical="center"/>
    </xf>
    <xf numFmtId="0" fontId="12" fillId="3" borderId="0" xfId="19" applyFont="1" applyFill="1"/>
    <xf numFmtId="0" fontId="11" fillId="3" borderId="0" xfId="19" applyFill="1" applyAlignment="1">
      <alignment wrapText="1"/>
    </xf>
    <xf numFmtId="0" fontId="11" fillId="3" borderId="0" xfId="19" applyFill="1"/>
    <xf numFmtId="2" fontId="11" fillId="3" borderId="0" xfId="19" applyNumberFormat="1" applyFill="1" applyAlignment="1">
      <alignment horizontal="center" vertical="center"/>
    </xf>
    <xf numFmtId="166" fontId="11" fillId="3" borderId="0" xfId="19" applyNumberFormat="1" applyFill="1" applyAlignment="1">
      <alignment horizontal="center" vertical="center"/>
    </xf>
    <xf numFmtId="1" fontId="11" fillId="3" borderId="0" xfId="19" applyNumberFormat="1" applyFill="1" applyAlignment="1">
      <alignment horizontal="center" vertical="center"/>
    </xf>
    <xf numFmtId="49" fontId="2" fillId="3" borderId="0" xfId="19" applyNumberFormat="1" applyFont="1" applyFill="1" applyAlignment="1">
      <alignment horizontal="center" vertical="center"/>
    </xf>
    <xf numFmtId="49" fontId="11" fillId="3" borderId="0" xfId="19" applyNumberFormat="1" applyFill="1" applyAlignment="1">
      <alignment horizontal="left" vertical="top" wrapText="1"/>
    </xf>
    <xf numFmtId="2" fontId="11" fillId="3" borderId="0" xfId="19" applyNumberFormat="1" applyFill="1" applyAlignment="1">
      <alignment horizontal="center"/>
    </xf>
    <xf numFmtId="49" fontId="11" fillId="3" borderId="0" xfId="19" applyNumberFormat="1" applyFill="1" applyAlignment="1">
      <alignment horizontal="center" vertical="center"/>
    </xf>
    <xf numFmtId="2" fontId="11" fillId="3" borderId="0" xfId="19" applyNumberFormat="1" applyFill="1" applyAlignment="1">
      <alignment horizontal="left" vertical="center" wrapText="1"/>
    </xf>
    <xf numFmtId="49" fontId="11" fillId="3" borderId="0" xfId="19" applyNumberFormat="1" applyFill="1" applyAlignment="1">
      <alignment horizontal="left" vertical="center"/>
    </xf>
    <xf numFmtId="49" fontId="2" fillId="3" borderId="0" xfId="19" applyNumberFormat="1" applyFont="1" applyFill="1" applyAlignment="1">
      <alignment horizontal="left" vertical="center"/>
    </xf>
    <xf numFmtId="49" fontId="11" fillId="3" borderId="0" xfId="19" applyNumberFormat="1" applyFill="1" applyAlignment="1">
      <alignment vertical="center"/>
    </xf>
    <xf numFmtId="0" fontId="15" fillId="3" borderId="0" xfId="19" applyFont="1" applyFill="1" applyAlignment="1">
      <alignment horizontal="left" vertical="center"/>
    </xf>
    <xf numFmtId="49" fontId="16" fillId="3" borderId="0" xfId="19" applyNumberFormat="1" applyFont="1" applyFill="1" applyAlignment="1">
      <alignment horizontal="center" vertical="center"/>
    </xf>
    <xf numFmtId="49" fontId="15" fillId="3" borderId="0" xfId="19" applyNumberFormat="1" applyFont="1" applyFill="1" applyAlignment="1">
      <alignment horizontal="left" vertical="top" wrapText="1"/>
    </xf>
    <xf numFmtId="49" fontId="14" fillId="3" borderId="5" xfId="19" applyNumberFormat="1" applyFont="1" applyFill="1" applyBorder="1" applyAlignment="1">
      <alignment horizontal="left" vertical="center" wrapText="1"/>
    </xf>
    <xf numFmtId="2" fontId="15" fillId="3" borderId="0" xfId="19" applyNumberFormat="1" applyFont="1" applyFill="1" applyAlignment="1">
      <alignment horizontal="center" vertical="center"/>
    </xf>
    <xf numFmtId="166" fontId="15" fillId="3" borderId="5" xfId="19" applyNumberFormat="1" applyFont="1" applyFill="1" applyBorder="1" applyAlignment="1">
      <alignment horizontal="center" vertical="center"/>
    </xf>
    <xf numFmtId="1" fontId="15" fillId="3" borderId="0" xfId="19" applyNumberFormat="1" applyFont="1" applyFill="1" applyAlignment="1">
      <alignment horizontal="center" vertical="center"/>
    </xf>
    <xf numFmtId="0" fontId="15" fillId="3" borderId="5" xfId="19" applyFont="1" applyFill="1" applyBorder="1" applyAlignment="1">
      <alignment horizontal="center" vertical="center"/>
    </xf>
    <xf numFmtId="49" fontId="15" fillId="3" borderId="0" xfId="19" applyNumberFormat="1" applyFont="1" applyFill="1" applyAlignment="1">
      <alignment horizontal="center" vertical="center"/>
    </xf>
    <xf numFmtId="0" fontId="15" fillId="3" borderId="0" xfId="19" applyFont="1" applyFill="1" applyAlignment="1">
      <alignment horizontal="center" vertical="center"/>
    </xf>
    <xf numFmtId="49" fontId="17" fillId="3" borderId="1" xfId="19" applyNumberFormat="1" applyFont="1" applyFill="1" applyBorder="1" applyAlignment="1">
      <alignment horizontal="left" vertical="center" wrapText="1"/>
    </xf>
    <xf numFmtId="0" fontId="18" fillId="3" borderId="0" xfId="19" applyFont="1" applyFill="1" applyAlignment="1">
      <alignment wrapText="1"/>
    </xf>
    <xf numFmtId="0" fontId="18" fillId="3" borderId="0" xfId="19" applyFont="1" applyFill="1"/>
    <xf numFmtId="49" fontId="14" fillId="3" borderId="0" xfId="19" applyNumberFormat="1" applyFont="1" applyFill="1" applyAlignment="1">
      <alignment horizontal="center" vertical="center"/>
    </xf>
    <xf numFmtId="49" fontId="19" fillId="3" borderId="0" xfId="19" applyNumberFormat="1" applyFont="1" applyFill="1" applyAlignment="1">
      <alignment vertical="center"/>
    </xf>
    <xf numFmtId="49" fontId="14" fillId="3" borderId="1" xfId="19" applyNumberFormat="1" applyFont="1" applyFill="1" applyBorder="1" applyAlignment="1">
      <alignment vertical="center" wrapText="1"/>
    </xf>
    <xf numFmtId="49" fontId="14" fillId="3" borderId="1" xfId="19" applyNumberFormat="1" applyFont="1" applyFill="1" applyBorder="1" applyAlignment="1">
      <alignment horizontal="center" vertical="center" wrapText="1"/>
    </xf>
    <xf numFmtId="49" fontId="20" fillId="3" borderId="1" xfId="19" applyNumberFormat="1" applyFont="1" applyFill="1" applyBorder="1" applyAlignment="1">
      <alignment horizontal="center" vertical="center" wrapText="1"/>
    </xf>
    <xf numFmtId="164" fontId="20" fillId="3" borderId="1" xfId="19" applyNumberFormat="1" applyFont="1" applyFill="1" applyBorder="1" applyAlignment="1">
      <alignment horizontal="center" vertical="center" wrapText="1"/>
    </xf>
    <xf numFmtId="2" fontId="14" fillId="3" borderId="2" xfId="19" applyNumberFormat="1" applyFont="1" applyFill="1" applyBorder="1" applyAlignment="1">
      <alignment horizontal="left" vertical="center" wrapText="1"/>
    </xf>
    <xf numFmtId="2" fontId="14" fillId="3" borderId="1" xfId="19" applyNumberFormat="1" applyFont="1" applyFill="1" applyBorder="1" applyAlignment="1">
      <alignment horizontal="center" vertical="center" wrapText="1"/>
    </xf>
    <xf numFmtId="1" fontId="14" fillId="3" borderId="1" xfId="19" applyNumberFormat="1" applyFont="1" applyFill="1" applyBorder="1" applyAlignment="1">
      <alignment horizontal="center" vertical="center" wrapText="1"/>
    </xf>
    <xf numFmtId="166" fontId="14" fillId="3" borderId="2" xfId="19" applyNumberFormat="1" applyFont="1" applyFill="1" applyBorder="1" applyAlignment="1">
      <alignment horizontal="center" vertical="center" wrapText="1"/>
    </xf>
    <xf numFmtId="166" fontId="14" fillId="3" borderId="1" xfId="19" applyNumberFormat="1" applyFont="1" applyFill="1" applyBorder="1" applyAlignment="1">
      <alignment horizontal="center" vertical="center" wrapText="1"/>
    </xf>
    <xf numFmtId="0" fontId="14" fillId="3" borderId="2" xfId="19" applyFont="1" applyFill="1" applyBorder="1" applyAlignment="1">
      <alignment horizontal="center" vertical="center" wrapText="1"/>
    </xf>
    <xf numFmtId="0" fontId="14" fillId="3" borderId="1" xfId="19" applyFont="1" applyFill="1" applyBorder="1" applyAlignment="1">
      <alignment horizontal="center" vertical="center" wrapText="1"/>
    </xf>
    <xf numFmtId="0" fontId="14" fillId="3" borderId="0" xfId="19" applyFont="1" applyFill="1" applyAlignment="1">
      <alignment horizontal="center" vertical="center"/>
    </xf>
    <xf numFmtId="1" fontId="14" fillId="3" borderId="0" xfId="19" applyNumberFormat="1" applyFont="1" applyFill="1" applyAlignment="1">
      <alignment horizontal="center" vertical="center"/>
    </xf>
    <xf numFmtId="49" fontId="14" fillId="3" borderId="0" xfId="19" applyNumberFormat="1" applyFont="1" applyFill="1" applyAlignment="1">
      <alignment horizontal="left" vertical="center"/>
    </xf>
    <xf numFmtId="164" fontId="16" fillId="3" borderId="0" xfId="19" applyNumberFormat="1" applyFont="1" applyFill="1" applyAlignment="1">
      <alignment horizontal="center" vertical="center"/>
    </xf>
    <xf numFmtId="2" fontId="14" fillId="3" borderId="0" xfId="19" applyNumberFormat="1" applyFont="1" applyFill="1" applyAlignment="1">
      <alignment horizontal="center" vertical="center"/>
    </xf>
    <xf numFmtId="166" fontId="15" fillId="3" borderId="0" xfId="19" applyNumberFormat="1" applyFont="1" applyFill="1" applyAlignment="1">
      <alignment horizontal="center" vertical="center"/>
    </xf>
    <xf numFmtId="0" fontId="15" fillId="3" borderId="5" xfId="19" applyFont="1" applyFill="1" applyBorder="1" applyAlignment="1">
      <alignment horizontal="center" vertical="center" wrapText="1"/>
    </xf>
    <xf numFmtId="0" fontId="14" fillId="3" borderId="5" xfId="19" applyFont="1" applyFill="1" applyBorder="1" applyAlignment="1">
      <alignment horizontal="center" vertical="center"/>
    </xf>
    <xf numFmtId="2" fontId="15" fillId="3" borderId="0" xfId="19" applyNumberFormat="1" applyFont="1" applyFill="1" applyAlignment="1">
      <alignment horizontal="left" vertical="top" wrapText="1"/>
    </xf>
    <xf numFmtId="1" fontId="16" fillId="3" borderId="0" xfId="19" applyNumberFormat="1" applyFont="1" applyFill="1" applyAlignment="1">
      <alignment horizontal="center" vertical="center"/>
    </xf>
    <xf numFmtId="49" fontId="16" fillId="3" borderId="0" xfId="19" applyNumberFormat="1" applyFont="1" applyFill="1" applyAlignment="1">
      <alignment horizontal="center" vertical="center" wrapText="1"/>
    </xf>
    <xf numFmtId="49" fontId="15" fillId="3" borderId="0" xfId="19" quotePrefix="1" applyNumberFormat="1" applyFont="1" applyFill="1" applyAlignment="1">
      <alignment horizontal="left" vertical="top" wrapText="1"/>
    </xf>
    <xf numFmtId="2" fontId="15" fillId="3" borderId="5" xfId="19" applyNumberFormat="1" applyFont="1" applyFill="1" applyBorder="1" applyAlignment="1">
      <alignment horizontal="center" vertical="center"/>
    </xf>
    <xf numFmtId="49" fontId="19" fillId="3" borderId="0" xfId="19" applyNumberFormat="1" applyFont="1" applyFill="1" applyAlignment="1">
      <alignment horizontal="center" vertical="center"/>
    </xf>
    <xf numFmtId="49" fontId="19" fillId="3" borderId="0" xfId="19" applyNumberFormat="1" applyFont="1" applyFill="1" applyAlignment="1">
      <alignment horizontal="left" vertical="center"/>
    </xf>
    <xf numFmtId="49" fontId="20" fillId="3" borderId="0" xfId="19" applyNumberFormat="1" applyFont="1" applyFill="1" applyAlignment="1">
      <alignment horizontal="center" vertical="center"/>
    </xf>
    <xf numFmtId="166" fontId="14" fillId="3" borderId="0" xfId="19" applyNumberFormat="1" applyFont="1" applyFill="1" applyAlignment="1">
      <alignment horizontal="center" vertical="center"/>
    </xf>
    <xf numFmtId="165" fontId="14" fillId="3" borderId="0" xfId="19" applyNumberFormat="1" applyFont="1" applyFill="1" applyAlignment="1">
      <alignment horizontal="center" vertical="center"/>
    </xf>
    <xf numFmtId="49" fontId="14" fillId="3" borderId="0" xfId="19" applyNumberFormat="1" applyFont="1" applyFill="1" applyAlignment="1">
      <alignment vertical="center"/>
    </xf>
    <xf numFmtId="49" fontId="20" fillId="3" borderId="0" xfId="19" applyNumberFormat="1" applyFont="1" applyFill="1" applyAlignment="1">
      <alignment horizontal="left" vertical="center"/>
    </xf>
    <xf numFmtId="49" fontId="15" fillId="3" borderId="0" xfId="19" applyNumberFormat="1" applyFont="1" applyFill="1" applyAlignment="1">
      <alignment horizontal="left" vertical="center"/>
    </xf>
    <xf numFmtId="2" fontId="14" fillId="3" borderId="0" xfId="19" applyNumberFormat="1" applyFont="1" applyFill="1" applyAlignment="1">
      <alignment horizontal="left" vertical="center"/>
    </xf>
    <xf numFmtId="166" fontId="14" fillId="3" borderId="5" xfId="19" applyNumberFormat="1" applyFont="1" applyFill="1" applyBorder="1" applyAlignment="1">
      <alignment horizontal="center" vertical="center"/>
    </xf>
    <xf numFmtId="2" fontId="14" fillId="3" borderId="1" xfId="19" applyNumberFormat="1" applyFont="1" applyFill="1" applyBorder="1" applyAlignment="1">
      <alignment horizontal="center" vertical="center"/>
    </xf>
    <xf numFmtId="49" fontId="19" fillId="3" borderId="4" xfId="19" applyNumberFormat="1" applyFont="1" applyFill="1" applyBorder="1" applyAlignment="1">
      <alignment horizontal="right" vertical="top" wrapText="1"/>
    </xf>
    <xf numFmtId="1" fontId="14" fillId="3" borderId="1" xfId="19" applyNumberFormat="1" applyFont="1" applyFill="1" applyBorder="1" applyAlignment="1">
      <alignment horizontal="center" vertical="center"/>
    </xf>
    <xf numFmtId="49" fontId="19" fillId="3" borderId="2" xfId="19" applyNumberFormat="1" applyFont="1" applyFill="1" applyBorder="1" applyAlignment="1">
      <alignment horizontal="left" vertical="top" wrapText="1"/>
    </xf>
    <xf numFmtId="1" fontId="12" fillId="3" borderId="0" xfId="19" applyNumberFormat="1" applyFont="1" applyFill="1" applyAlignment="1">
      <alignment horizontal="center"/>
    </xf>
    <xf numFmtId="1" fontId="14" fillId="3" borderId="0" xfId="19" applyNumberFormat="1" applyFont="1" applyFill="1" applyAlignment="1">
      <alignment horizontal="center"/>
    </xf>
    <xf numFmtId="1" fontId="11" fillId="3" borderId="0" xfId="19" applyNumberFormat="1" applyFill="1" applyAlignment="1">
      <alignment horizontal="center"/>
    </xf>
    <xf numFmtId="1" fontId="11" fillId="0" borderId="0" xfId="19" applyNumberFormat="1" applyAlignment="1">
      <alignment horizontal="center"/>
    </xf>
    <xf numFmtId="2" fontId="14" fillId="3" borderId="1" xfId="19" applyNumberFormat="1" applyFont="1" applyFill="1" applyBorder="1" applyAlignment="1">
      <alignment horizontal="left" vertical="center" wrapText="1"/>
    </xf>
    <xf numFmtId="2" fontId="15" fillId="3" borderId="0" xfId="19" applyNumberFormat="1" applyFont="1" applyFill="1" applyAlignment="1">
      <alignment horizontal="left" vertical="center"/>
    </xf>
    <xf numFmtId="2" fontId="11" fillId="3" borderId="0" xfId="19" applyNumberFormat="1" applyFill="1" applyAlignment="1">
      <alignment horizontal="left" vertical="center"/>
    </xf>
    <xf numFmtId="2" fontId="11" fillId="0" borderId="0" xfId="19" applyNumberFormat="1" applyAlignment="1">
      <alignment horizontal="left" vertical="center"/>
    </xf>
    <xf numFmtId="0" fontId="21" fillId="3" borderId="0" xfId="19" applyFont="1" applyFill="1"/>
    <xf numFmtId="49" fontId="21" fillId="3" borderId="0" xfId="19" applyNumberFormat="1" applyFont="1" applyFill="1" applyAlignment="1">
      <alignment horizontal="center" vertical="center"/>
    </xf>
    <xf numFmtId="49" fontId="22" fillId="3" borderId="0" xfId="19" applyNumberFormat="1" applyFont="1" applyFill="1" applyAlignment="1">
      <alignment horizontal="center" vertical="center"/>
    </xf>
    <xf numFmtId="2" fontId="21" fillId="3" borderId="0" xfId="19" applyNumberFormat="1" applyFont="1" applyFill="1" applyAlignment="1">
      <alignment horizontal="center" vertical="center"/>
    </xf>
    <xf numFmtId="2" fontId="21" fillId="3" borderId="0" xfId="19" applyNumberFormat="1" applyFont="1" applyFill="1" applyAlignment="1">
      <alignment horizontal="left" vertical="center"/>
    </xf>
    <xf numFmtId="0" fontId="21" fillId="3" borderId="0" xfId="19" applyFont="1" applyFill="1" applyAlignment="1">
      <alignment horizontal="center" vertical="center"/>
    </xf>
    <xf numFmtId="1" fontId="21" fillId="3" borderId="0" xfId="19" applyNumberFormat="1" applyFont="1" applyFill="1" applyAlignment="1">
      <alignment horizontal="center"/>
    </xf>
    <xf numFmtId="0" fontId="21" fillId="0" borderId="0" xfId="19" applyFont="1"/>
    <xf numFmtId="49" fontId="23" fillId="3" borderId="0" xfId="19" applyNumberFormat="1" applyFont="1" applyFill="1" applyAlignment="1">
      <alignment horizontal="center" vertical="center"/>
    </xf>
    <xf numFmtId="49" fontId="23" fillId="3" borderId="0" xfId="19" applyNumberFormat="1" applyFont="1" applyFill="1" applyAlignment="1">
      <alignment horizontal="left" vertical="center"/>
    </xf>
    <xf numFmtId="49" fontId="23" fillId="3" borderId="0" xfId="19" applyNumberFormat="1" applyFont="1" applyFill="1" applyAlignment="1">
      <alignment vertical="center"/>
    </xf>
    <xf numFmtId="49" fontId="21" fillId="3" borderId="0" xfId="19" applyNumberFormat="1" applyFont="1" applyFill="1" applyAlignment="1">
      <alignment horizontal="left" vertical="center"/>
    </xf>
    <xf numFmtId="49" fontId="21" fillId="3" borderId="0" xfId="19" applyNumberFormat="1" applyFont="1" applyFill="1" applyAlignment="1">
      <alignment horizontal="left" vertical="top" wrapText="1"/>
    </xf>
    <xf numFmtId="0" fontId="21" fillId="3" borderId="0" xfId="19" applyFont="1" applyFill="1" applyAlignment="1">
      <alignment horizontal="left" vertical="center" wrapText="1"/>
    </xf>
    <xf numFmtId="166" fontId="21" fillId="3" borderId="0" xfId="19" applyNumberFormat="1" applyFont="1" applyFill="1" applyAlignment="1">
      <alignment horizontal="center" vertical="center"/>
    </xf>
    <xf numFmtId="0" fontId="21" fillId="3" borderId="0" xfId="19" applyFont="1" applyFill="1" applyAlignment="1">
      <alignment horizontal="left" vertical="top" wrapText="1"/>
    </xf>
    <xf numFmtId="2" fontId="21" fillId="3" borderId="0" xfId="19" applyNumberFormat="1" applyFont="1" applyFill="1" applyAlignment="1">
      <alignment horizontal="left" vertical="center" wrapText="1"/>
    </xf>
    <xf numFmtId="1" fontId="21" fillId="3" borderId="0" xfId="19" applyNumberFormat="1" applyFont="1" applyFill="1" applyAlignment="1">
      <alignment horizontal="center" vertical="center"/>
    </xf>
    <xf numFmtId="49" fontId="21" fillId="3" borderId="0" xfId="19" applyNumberFormat="1" applyFont="1" applyFill="1" applyAlignment="1">
      <alignment vertical="center"/>
    </xf>
    <xf numFmtId="49" fontId="23" fillId="3" borderId="5" xfId="19" applyNumberFormat="1" applyFont="1" applyFill="1" applyBorder="1" applyAlignment="1">
      <alignment horizontal="center" vertical="center"/>
    </xf>
    <xf numFmtId="49" fontId="23" fillId="3" borderId="0" xfId="19" applyNumberFormat="1" applyFont="1" applyFill="1" applyAlignment="1">
      <alignment horizontal="left" vertical="top" wrapText="1"/>
    </xf>
    <xf numFmtId="2" fontId="23" fillId="3" borderId="0" xfId="19" applyNumberFormat="1" applyFont="1" applyFill="1" applyAlignment="1">
      <alignment horizontal="center" vertical="center"/>
    </xf>
    <xf numFmtId="1" fontId="23" fillId="3" borderId="0" xfId="19" applyNumberFormat="1" applyFont="1" applyFill="1" applyAlignment="1">
      <alignment horizontal="center" vertical="center"/>
    </xf>
    <xf numFmtId="2" fontId="23" fillId="3" borderId="0" xfId="19" applyNumberFormat="1" applyFont="1" applyFill="1" applyAlignment="1">
      <alignment horizontal="left" vertical="center"/>
    </xf>
    <xf numFmtId="0" fontId="23" fillId="3" borderId="0" xfId="19" applyFont="1" applyFill="1" applyAlignment="1">
      <alignment horizontal="center" vertical="center"/>
    </xf>
    <xf numFmtId="2" fontId="14" fillId="3" borderId="0" xfId="19" applyNumberFormat="1" applyFont="1" applyFill="1" applyAlignment="1">
      <alignment horizontal="center"/>
    </xf>
    <xf numFmtId="2" fontId="14" fillId="3" borderId="5" xfId="19" applyNumberFormat="1" applyFont="1" applyFill="1" applyBorder="1" applyAlignment="1">
      <alignment horizontal="center"/>
    </xf>
    <xf numFmtId="2" fontId="21" fillId="3" borderId="5" xfId="19" applyNumberFormat="1" applyFont="1" applyFill="1" applyBorder="1" applyAlignment="1">
      <alignment horizontal="center"/>
    </xf>
    <xf numFmtId="2" fontId="21" fillId="3" borderId="0" xfId="19" applyNumberFormat="1" applyFont="1" applyFill="1" applyAlignment="1">
      <alignment horizontal="center"/>
    </xf>
    <xf numFmtId="2" fontId="12" fillId="3" borderId="0" xfId="19" applyNumberFormat="1" applyFont="1" applyFill="1" applyAlignment="1">
      <alignment horizontal="center"/>
    </xf>
    <xf numFmtId="2" fontId="18" fillId="3" borderId="5" xfId="19" applyNumberFormat="1" applyFont="1" applyFill="1" applyBorder="1" applyAlignment="1">
      <alignment horizontal="center" vertical="center"/>
    </xf>
    <xf numFmtId="1" fontId="18" fillId="3" borderId="0" xfId="19" applyNumberFormat="1" applyFont="1" applyFill="1" applyAlignment="1">
      <alignment horizontal="center" vertical="center"/>
    </xf>
    <xf numFmtId="49" fontId="13" fillId="3" borderId="0" xfId="19" applyNumberFormat="1" applyFont="1" applyFill="1" applyAlignment="1">
      <alignment horizontal="left" vertical="center"/>
    </xf>
    <xf numFmtId="0" fontId="12" fillId="3" borderId="0" xfId="19" applyFont="1" applyFill="1" applyAlignment="1">
      <alignment horizontal="left" vertical="center"/>
    </xf>
    <xf numFmtId="0" fontId="21" fillId="3" borderId="0" xfId="19" applyFont="1" applyFill="1" applyAlignment="1">
      <alignment horizontal="left" vertical="center"/>
    </xf>
    <xf numFmtId="0" fontId="11" fillId="3" borderId="0" xfId="19" applyFill="1" applyAlignment="1">
      <alignment horizontal="left" vertical="center"/>
    </xf>
    <xf numFmtId="0" fontId="11" fillId="0" borderId="0" xfId="19" applyAlignment="1">
      <alignment horizontal="left" vertical="center"/>
    </xf>
    <xf numFmtId="49" fontId="14" fillId="3" borderId="0" xfId="19" applyNumberFormat="1" applyFont="1" applyFill="1" applyAlignment="1">
      <alignment vertical="center" wrapText="1"/>
    </xf>
    <xf numFmtId="49" fontId="14" fillId="3" borderId="0" xfId="19" applyNumberFormat="1" applyFont="1" applyFill="1" applyAlignment="1">
      <alignment horizontal="center" vertical="center" wrapText="1"/>
    </xf>
    <xf numFmtId="49" fontId="20" fillId="3" borderId="0" xfId="19" applyNumberFormat="1" applyFont="1" applyFill="1" applyAlignment="1">
      <alignment horizontal="center" vertical="center" wrapText="1"/>
    </xf>
    <xf numFmtId="164" fontId="20" fillId="3" borderId="0" xfId="19" applyNumberFormat="1" applyFont="1" applyFill="1" applyAlignment="1">
      <alignment horizontal="center" vertical="center" wrapText="1"/>
    </xf>
    <xf numFmtId="2" fontId="18" fillId="3" borderId="5" xfId="19" applyNumberFormat="1" applyFont="1" applyFill="1" applyBorder="1" applyAlignment="1">
      <alignment horizontal="center" vertical="center" wrapText="1"/>
    </xf>
    <xf numFmtId="1" fontId="18" fillId="3" borderId="0" xfId="19" applyNumberFormat="1" applyFont="1" applyFill="1" applyAlignment="1">
      <alignment horizontal="center" vertical="center" wrapText="1"/>
    </xf>
    <xf numFmtId="2" fontId="26" fillId="3" borderId="5" xfId="19" applyNumberFormat="1" applyFont="1" applyFill="1" applyBorder="1" applyAlignment="1">
      <alignment horizontal="center"/>
    </xf>
    <xf numFmtId="1" fontId="26" fillId="3" borderId="0" xfId="19" applyNumberFormat="1" applyFont="1" applyFill="1" applyAlignment="1">
      <alignment horizontal="center"/>
    </xf>
    <xf numFmtId="49" fontId="27" fillId="3" borderId="5" xfId="19" applyNumberFormat="1" applyFont="1" applyFill="1" applyBorder="1" applyAlignment="1">
      <alignment horizontal="left" vertical="center" wrapText="1"/>
    </xf>
    <xf numFmtId="2" fontId="26" fillId="3" borderId="0" xfId="19" applyNumberFormat="1" applyFont="1" applyFill="1" applyAlignment="1">
      <alignment horizontal="center" vertical="center"/>
    </xf>
    <xf numFmtId="2" fontId="27" fillId="3" borderId="0" xfId="19" applyNumberFormat="1" applyFont="1" applyFill="1" applyAlignment="1">
      <alignment horizontal="left" vertical="center"/>
    </xf>
    <xf numFmtId="166" fontId="26" fillId="3" borderId="5" xfId="19" applyNumberFormat="1" applyFont="1" applyFill="1" applyBorder="1" applyAlignment="1">
      <alignment horizontal="center" vertical="center"/>
    </xf>
    <xf numFmtId="166" fontId="26" fillId="3" borderId="0" xfId="19" applyNumberFormat="1" applyFont="1" applyFill="1" applyAlignment="1">
      <alignment horizontal="center" vertical="center"/>
    </xf>
    <xf numFmtId="0" fontId="26" fillId="3" borderId="5" xfId="19" applyFont="1" applyFill="1" applyBorder="1" applyAlignment="1">
      <alignment horizontal="center" vertical="center" wrapText="1"/>
    </xf>
    <xf numFmtId="0" fontId="26" fillId="3" borderId="0" xfId="19" applyFont="1" applyFill="1" applyAlignment="1">
      <alignment horizontal="center" vertical="center"/>
    </xf>
    <xf numFmtId="0" fontId="27" fillId="3" borderId="0" xfId="19" applyFont="1" applyFill="1" applyAlignment="1">
      <alignment horizontal="center" vertical="center"/>
    </xf>
    <xf numFmtId="2" fontId="18" fillId="3" borderId="2" xfId="19" applyNumberFormat="1" applyFont="1" applyFill="1" applyBorder="1" applyAlignment="1">
      <alignment horizontal="center" wrapText="1"/>
    </xf>
    <xf numFmtId="1" fontId="18" fillId="3" borderId="1" xfId="19" applyNumberFormat="1" applyFont="1" applyFill="1" applyBorder="1" applyAlignment="1">
      <alignment horizontal="center" wrapText="1"/>
    </xf>
    <xf numFmtId="2" fontId="15" fillId="3" borderId="0" xfId="19" applyNumberFormat="1" applyFont="1" applyFill="1" applyAlignment="1">
      <alignment horizontal="center"/>
    </xf>
    <xf numFmtId="1" fontId="15" fillId="3" borderId="0" xfId="19" applyNumberFormat="1" applyFont="1" applyFill="1" applyAlignment="1">
      <alignment horizontal="center"/>
    </xf>
    <xf numFmtId="49" fontId="23" fillId="3" borderId="1" xfId="19" applyNumberFormat="1" applyFont="1" applyFill="1" applyBorder="1" applyAlignment="1">
      <alignment horizontal="center" vertical="center" wrapText="1"/>
    </xf>
    <xf numFmtId="0" fontId="14" fillId="3" borderId="0" xfId="19" applyFont="1" applyFill="1" applyAlignment="1">
      <alignment horizontal="left" vertical="center"/>
    </xf>
    <xf numFmtId="49" fontId="14" fillId="3" borderId="0" xfId="19" applyNumberFormat="1" applyFont="1" applyFill="1" applyAlignment="1">
      <alignment horizontal="center"/>
    </xf>
    <xf numFmtId="2" fontId="14" fillId="3" borderId="1" xfId="19" applyNumberFormat="1" applyFont="1" applyFill="1" applyBorder="1" applyAlignment="1">
      <alignment horizontal="center"/>
    </xf>
    <xf numFmtId="166" fontId="14" fillId="3" borderId="2" xfId="19" applyNumberFormat="1" applyFont="1" applyFill="1" applyBorder="1" applyAlignment="1">
      <alignment horizontal="left" vertical="center"/>
    </xf>
    <xf numFmtId="166" fontId="14" fillId="3" borderId="5" xfId="19" applyNumberFormat="1" applyFont="1" applyFill="1" applyBorder="1" applyAlignment="1">
      <alignment horizontal="left" vertical="center"/>
    </xf>
    <xf numFmtId="49" fontId="14" fillId="3" borderId="0" xfId="19" applyNumberFormat="1" applyFont="1" applyFill="1" applyAlignment="1">
      <alignment horizontal="left" vertical="top" wrapText="1"/>
    </xf>
    <xf numFmtId="166" fontId="15" fillId="3" borderId="0" xfId="19" applyNumberFormat="1" applyFont="1" applyFill="1" applyAlignment="1">
      <alignment horizontal="center" vertical="center" wrapText="1"/>
    </xf>
    <xf numFmtId="2" fontId="15" fillId="3" borderId="5" xfId="19" applyNumberFormat="1" applyFont="1" applyFill="1" applyBorder="1" applyAlignment="1">
      <alignment horizontal="center" vertical="center" wrapText="1"/>
    </xf>
    <xf numFmtId="0" fontId="15" fillId="3" borderId="5" xfId="19" applyFont="1" applyFill="1" applyBorder="1" applyAlignment="1">
      <alignment horizontal="left" vertical="center" wrapText="1"/>
    </xf>
    <xf numFmtId="49" fontId="16" fillId="3" borderId="0" xfId="19" applyNumberFormat="1" applyFont="1" applyFill="1" applyAlignment="1">
      <alignment horizontal="left" vertical="center"/>
    </xf>
    <xf numFmtId="49" fontId="30" fillId="3" borderId="0" xfId="19" applyNumberFormat="1" applyFont="1" applyFill="1" applyAlignment="1">
      <alignment horizontal="center" vertical="center"/>
    </xf>
    <xf numFmtId="49" fontId="15" fillId="3" borderId="5" xfId="19" applyNumberFormat="1" applyFont="1" applyFill="1" applyBorder="1" applyAlignment="1">
      <alignment horizontal="center" vertical="center"/>
    </xf>
    <xf numFmtId="49" fontId="11" fillId="3" borderId="5" xfId="19" applyNumberFormat="1" applyFill="1" applyBorder="1" applyAlignment="1">
      <alignment horizontal="center" vertical="center"/>
    </xf>
    <xf numFmtId="2" fontId="11" fillId="3" borderId="5" xfId="19" applyNumberFormat="1" applyFill="1" applyBorder="1" applyAlignment="1">
      <alignment horizontal="left" vertical="center" wrapText="1"/>
    </xf>
    <xf numFmtId="49" fontId="31" fillId="3" borderId="0" xfId="19" applyNumberFormat="1" applyFont="1" applyFill="1" applyAlignment="1">
      <alignment horizontal="center" vertical="center"/>
    </xf>
    <xf numFmtId="49" fontId="32" fillId="3" borderId="0" xfId="19" applyNumberFormat="1" applyFont="1" applyFill="1" applyAlignment="1">
      <alignment horizontal="center" vertical="center"/>
    </xf>
    <xf numFmtId="49" fontId="31" fillId="3" borderId="0" xfId="19" applyNumberFormat="1" applyFont="1" applyFill="1" applyAlignment="1">
      <alignment horizontal="center"/>
    </xf>
    <xf numFmtId="0" fontId="21" fillId="3" borderId="1" xfId="19" applyFont="1" applyFill="1" applyBorder="1" applyAlignment="1">
      <alignment vertical="center"/>
    </xf>
    <xf numFmtId="0" fontId="23" fillId="3" borderId="1" xfId="19" applyFont="1" applyFill="1" applyBorder="1" applyAlignment="1">
      <alignment horizontal="center" vertical="center"/>
    </xf>
    <xf numFmtId="49" fontId="23" fillId="3" borderId="1" xfId="19" applyNumberFormat="1" applyFont="1" applyFill="1" applyBorder="1" applyAlignment="1">
      <alignment horizontal="left" vertical="center"/>
    </xf>
    <xf numFmtId="49" fontId="21" fillId="3" borderId="1" xfId="19" applyNumberFormat="1" applyFont="1" applyFill="1" applyBorder="1" applyAlignment="1">
      <alignment horizontal="center" vertical="center"/>
    </xf>
    <xf numFmtId="0" fontId="21" fillId="3" borderId="2" xfId="19" applyFont="1" applyFill="1" applyBorder="1" applyAlignment="1">
      <alignment horizontal="center" vertical="center"/>
    </xf>
    <xf numFmtId="49" fontId="23" fillId="3" borderId="5" xfId="19" applyNumberFormat="1" applyFont="1" applyFill="1" applyBorder="1" applyAlignment="1">
      <alignment horizontal="left" vertical="center"/>
    </xf>
    <xf numFmtId="49" fontId="28" fillId="3" borderId="5" xfId="19" applyNumberFormat="1" applyFont="1" applyFill="1" applyBorder="1" applyAlignment="1">
      <alignment horizontal="left" vertical="center"/>
    </xf>
    <xf numFmtId="49" fontId="31" fillId="3" borderId="1" xfId="19" applyNumberFormat="1" applyFont="1" applyFill="1" applyBorder="1" applyAlignment="1">
      <alignment horizontal="center" vertical="center"/>
    </xf>
    <xf numFmtId="49" fontId="30" fillId="3" borderId="2" xfId="19" applyNumberFormat="1" applyFont="1" applyFill="1" applyBorder="1" applyAlignment="1">
      <alignment horizontal="center" vertical="center"/>
    </xf>
    <xf numFmtId="49" fontId="30" fillId="3" borderId="5" xfId="19" applyNumberFormat="1" applyFont="1" applyFill="1" applyBorder="1" applyAlignment="1">
      <alignment horizontal="center" vertical="center"/>
    </xf>
    <xf numFmtId="49" fontId="29" fillId="3" borderId="5" xfId="19" applyNumberFormat="1" applyFont="1" applyFill="1" applyBorder="1" applyAlignment="1">
      <alignment horizontal="center" vertical="center"/>
    </xf>
    <xf numFmtId="49" fontId="30" fillId="3" borderId="5" xfId="19" applyNumberFormat="1" applyFont="1" applyFill="1" applyBorder="1" applyAlignment="1">
      <alignment horizontal="center"/>
    </xf>
    <xf numFmtId="2" fontId="23" fillId="3" borderId="0" xfId="19" applyNumberFormat="1" applyFont="1" applyFill="1" applyAlignment="1">
      <alignment horizontal="left" vertical="center" wrapText="1"/>
    </xf>
    <xf numFmtId="166" fontId="23" fillId="3" borderId="0" xfId="19" applyNumberFormat="1" applyFont="1" applyFill="1" applyAlignment="1">
      <alignment horizontal="center" vertical="center"/>
    </xf>
    <xf numFmtId="49" fontId="33" fillId="3" borderId="1" xfId="19" applyNumberFormat="1" applyFont="1" applyFill="1" applyBorder="1" applyAlignment="1">
      <alignment horizontal="left" vertical="center"/>
    </xf>
    <xf numFmtId="49" fontId="23" fillId="3" borderId="1" xfId="19" applyNumberFormat="1" applyFont="1" applyFill="1" applyBorder="1" applyAlignment="1">
      <alignment horizontal="center" vertical="center"/>
    </xf>
    <xf numFmtId="49" fontId="24" fillId="3" borderId="1" xfId="19" applyNumberFormat="1" applyFont="1" applyFill="1" applyBorder="1" applyAlignment="1">
      <alignment horizontal="center" vertical="center"/>
    </xf>
    <xf numFmtId="0" fontId="14" fillId="3" borderId="1" xfId="19" applyFont="1" applyFill="1" applyBorder="1" applyAlignment="1">
      <alignment horizontal="left" vertical="center"/>
    </xf>
    <xf numFmtId="0" fontId="15" fillId="3" borderId="1" xfId="19" applyFont="1" applyFill="1" applyBorder="1" applyAlignment="1">
      <alignment horizontal="center" vertical="center"/>
    </xf>
    <xf numFmtId="49" fontId="35" fillId="3" borderId="5" xfId="19" applyNumberFormat="1" applyFont="1" applyFill="1" applyBorder="1" applyAlignment="1">
      <alignment horizontal="left" vertical="center" wrapText="1"/>
    </xf>
    <xf numFmtId="2" fontId="35" fillId="3" borderId="0" xfId="19" applyNumberFormat="1" applyFont="1" applyFill="1" applyAlignment="1">
      <alignment horizontal="left" vertical="center"/>
    </xf>
    <xf numFmtId="166" fontId="36" fillId="3" borderId="5" xfId="19" applyNumberFormat="1" applyFont="1" applyFill="1" applyBorder="1" applyAlignment="1">
      <alignment horizontal="center" vertical="center"/>
    </xf>
    <xf numFmtId="2" fontId="37" fillId="3" borderId="0" xfId="19" applyNumberFormat="1" applyFont="1" applyFill="1" applyAlignment="1">
      <alignment horizontal="left" vertical="center"/>
    </xf>
    <xf numFmtId="2" fontId="14" fillId="4" borderId="0" xfId="0" applyNumberFormat="1" applyFont="1" applyFill="1" applyAlignment="1">
      <alignment horizontal="center" vertical="center"/>
    </xf>
    <xf numFmtId="2" fontId="14" fillId="4" borderId="0" xfId="0" applyNumberFormat="1" applyFont="1" applyFill="1" applyAlignment="1">
      <alignment horizontal="left" vertical="center"/>
    </xf>
    <xf numFmtId="0" fontId="15" fillId="3" borderId="0" xfId="19" applyFont="1" applyFill="1" applyAlignment="1">
      <alignment horizontal="left" vertical="center" wrapText="1"/>
    </xf>
    <xf numFmtId="0" fontId="15" fillId="3" borderId="0" xfId="19" applyFont="1" applyFill="1" applyAlignment="1">
      <alignment horizontal="center" vertical="center" wrapText="1"/>
    </xf>
    <xf numFmtId="49" fontId="15" fillId="3" borderId="0" xfId="19" applyNumberFormat="1" applyFont="1" applyFill="1" applyAlignment="1">
      <alignment horizontal="center" vertical="center" wrapText="1"/>
    </xf>
    <xf numFmtId="1" fontId="15" fillId="3" borderId="0" xfId="19" applyNumberFormat="1" applyFont="1" applyFill="1" applyAlignment="1">
      <alignment horizontal="center" vertical="center" wrapText="1"/>
    </xf>
    <xf numFmtId="2" fontId="38" fillId="3" borderId="0" xfId="19" applyNumberFormat="1" applyFont="1" applyFill="1" applyAlignment="1">
      <alignment horizontal="left" vertical="center"/>
    </xf>
    <xf numFmtId="0" fontId="38" fillId="3" borderId="0" xfId="19" applyFont="1" applyFill="1" applyAlignment="1">
      <alignment horizontal="left" vertical="center"/>
    </xf>
    <xf numFmtId="0" fontId="39" fillId="3" borderId="0" xfId="19" applyFont="1" applyFill="1" applyAlignment="1">
      <alignment horizontal="center" vertical="center"/>
    </xf>
    <xf numFmtId="49" fontId="23" fillId="3" borderId="0" xfId="19" applyNumberFormat="1" applyFont="1" applyFill="1" applyAlignment="1">
      <alignment horizontal="left" vertical="top"/>
    </xf>
    <xf numFmtId="49" fontId="24" fillId="3" borderId="1" xfId="19" applyNumberFormat="1" applyFont="1" applyFill="1" applyBorder="1" applyAlignment="1">
      <alignment horizontal="left" vertical="center"/>
    </xf>
    <xf numFmtId="49" fontId="2" fillId="3" borderId="1" xfId="19" applyNumberFormat="1" applyFont="1" applyFill="1" applyBorder="1" applyAlignment="1">
      <alignment horizontal="center" vertical="center"/>
    </xf>
    <xf numFmtId="49" fontId="14" fillId="3" borderId="1" xfId="19" applyNumberFormat="1" applyFont="1" applyFill="1" applyBorder="1" applyAlignment="1">
      <alignment horizontal="center" vertical="center"/>
    </xf>
    <xf numFmtId="49" fontId="40" fillId="3" borderId="0" xfId="19" applyNumberFormat="1" applyFont="1" applyFill="1" applyAlignment="1">
      <alignment horizontal="left" vertical="center"/>
    </xf>
    <xf numFmtId="166" fontId="14" fillId="3" borderId="0" xfId="19" applyNumberFormat="1" applyFont="1" applyFill="1" applyAlignment="1">
      <alignment horizontal="left" vertical="center"/>
    </xf>
    <xf numFmtId="0" fontId="12" fillId="3" borderId="0" xfId="19" applyFont="1" applyFill="1" applyAlignment="1">
      <alignment horizontal="right" vertical="center"/>
    </xf>
    <xf numFmtId="49" fontId="23" fillId="3" borderId="6" xfId="19" applyNumberFormat="1" applyFont="1" applyFill="1" applyBorder="1" applyAlignment="1">
      <alignment horizontal="left" vertical="top" wrapText="1"/>
    </xf>
    <xf numFmtId="49" fontId="14" fillId="3" borderId="0" xfId="19" applyNumberFormat="1" applyFont="1" applyFill="1" applyAlignment="1">
      <alignment horizontal="left" vertical="top"/>
    </xf>
    <xf numFmtId="0" fontId="14" fillId="3" borderId="0" xfId="19" applyFont="1" applyFill="1" applyAlignment="1">
      <alignment horizontal="left" vertical="top"/>
    </xf>
    <xf numFmtId="49" fontId="19" fillId="3" borderId="2" xfId="19" applyNumberFormat="1" applyFont="1" applyFill="1" applyBorder="1" applyAlignment="1">
      <alignment horizontal="center" vertical="center"/>
    </xf>
    <xf numFmtId="49" fontId="34" fillId="3" borderId="0" xfId="19" applyNumberFormat="1" applyFont="1" applyFill="1" applyAlignment="1">
      <alignment horizontal="left" vertical="center"/>
    </xf>
    <xf numFmtId="164" fontId="20" fillId="3" borderId="5" xfId="19" applyNumberFormat="1" applyFont="1" applyFill="1" applyBorder="1" applyAlignment="1">
      <alignment horizontal="center" vertical="center" wrapText="1"/>
    </xf>
    <xf numFmtId="164" fontId="16" fillId="3" borderId="5" xfId="19" applyNumberFormat="1" applyFont="1" applyFill="1" applyBorder="1" applyAlignment="1">
      <alignment horizontal="center" vertical="center"/>
    </xf>
    <xf numFmtId="164" fontId="20" fillId="3" borderId="2" xfId="19" applyNumberFormat="1" applyFont="1" applyFill="1" applyBorder="1" applyAlignment="1">
      <alignment horizontal="center" vertical="center" wrapText="1"/>
    </xf>
    <xf numFmtId="2" fontId="25" fillId="3" borderId="0" xfId="19" applyNumberFormat="1" applyFont="1" applyFill="1" applyAlignment="1">
      <alignment horizontal="center" vertical="center"/>
    </xf>
    <xf numFmtId="49" fontId="34" fillId="3" borderId="0" xfId="19" applyNumberFormat="1" applyFont="1" applyFill="1" applyAlignment="1">
      <alignment vertical="center"/>
    </xf>
    <xf numFmtId="166" fontId="14" fillId="3" borderId="0" xfId="19" applyNumberFormat="1" applyFont="1" applyFill="1" applyAlignment="1">
      <alignment vertical="center"/>
    </xf>
    <xf numFmtId="49" fontId="20" fillId="3" borderId="0" xfId="19" applyNumberFormat="1" applyFont="1" applyFill="1" applyAlignment="1">
      <alignment vertical="center"/>
    </xf>
    <xf numFmtId="49" fontId="15" fillId="3" borderId="0" xfId="19" applyNumberFormat="1" applyFont="1" applyFill="1" applyAlignment="1">
      <alignment vertical="center"/>
    </xf>
    <xf numFmtId="0" fontId="15" fillId="3" borderId="0" xfId="19" applyFont="1" applyFill="1" applyAlignment="1">
      <alignment vertical="center"/>
    </xf>
    <xf numFmtId="0" fontId="16" fillId="3" borderId="0" xfId="19" applyFont="1" applyFill="1" applyAlignment="1">
      <alignment vertical="center"/>
    </xf>
    <xf numFmtId="1" fontId="16" fillId="3" borderId="0" xfId="19" applyNumberFormat="1" applyFont="1" applyFill="1" applyAlignment="1">
      <alignment vertical="center"/>
    </xf>
    <xf numFmtId="49" fontId="21" fillId="3" borderId="1" xfId="19" applyNumberFormat="1" applyFont="1" applyFill="1" applyBorder="1" applyAlignment="1">
      <alignment vertical="center"/>
    </xf>
    <xf numFmtId="49" fontId="23" fillId="3" borderId="1" xfId="19" applyNumberFormat="1" applyFont="1" applyFill="1" applyBorder="1" applyAlignment="1">
      <alignment vertical="center" wrapText="1"/>
    </xf>
    <xf numFmtId="49" fontId="2" fillId="3" borderId="0" xfId="19" applyNumberFormat="1" applyFont="1" applyFill="1" applyAlignment="1">
      <alignment vertical="center"/>
    </xf>
    <xf numFmtId="49" fontId="2" fillId="0" borderId="0" xfId="19" applyNumberFormat="1" applyFont="1" applyAlignment="1">
      <alignment vertical="center"/>
    </xf>
    <xf numFmtId="49" fontId="20" fillId="3" borderId="0" xfId="19" applyNumberFormat="1" applyFont="1" applyFill="1" applyAlignment="1">
      <alignment horizontal="right" vertical="center" wrapText="1"/>
    </xf>
    <xf numFmtId="49" fontId="14" fillId="3" borderId="0" xfId="19" applyNumberFormat="1" applyFont="1" applyFill="1" applyAlignment="1">
      <alignment horizontal="right" vertical="top" wrapText="1"/>
    </xf>
    <xf numFmtId="49" fontId="23" fillId="3" borderId="0" xfId="19" applyNumberFormat="1" applyFont="1" applyFill="1" applyAlignment="1">
      <alignment horizontal="right" vertical="top" wrapText="1"/>
    </xf>
    <xf numFmtId="1" fontId="15" fillId="3" borderId="0" xfId="19" applyNumberFormat="1" applyFont="1" applyFill="1" applyAlignment="1">
      <alignment horizontal="left" vertical="top" wrapText="1"/>
    </xf>
    <xf numFmtId="2" fontId="14" fillId="3" borderId="5" xfId="19" applyNumberFormat="1" applyFont="1" applyFill="1" applyBorder="1" applyAlignment="1">
      <alignment horizontal="center" vertical="center"/>
    </xf>
    <xf numFmtId="0" fontId="1" fillId="0" borderId="0" xfId="64"/>
    <xf numFmtId="0" fontId="14" fillId="3" borderId="0" xfId="19" applyFont="1" applyFill="1"/>
    <xf numFmtId="0" fontId="14" fillId="3" borderId="4" xfId="19" applyFont="1" applyFill="1" applyBorder="1"/>
    <xf numFmtId="0" fontId="14" fillId="3" borderId="3" xfId="19" applyFont="1" applyFill="1" applyBorder="1" applyAlignment="1">
      <alignment horizontal="center" vertical="center"/>
    </xf>
    <xf numFmtId="0" fontId="14" fillId="3" borderId="1" xfId="19" applyFont="1" applyFill="1" applyBorder="1" applyAlignment="1">
      <alignment horizontal="center" vertical="center"/>
    </xf>
    <xf numFmtId="0" fontId="20" fillId="3" borderId="4" xfId="19" applyFont="1" applyFill="1" applyBorder="1" applyAlignment="1">
      <alignment horizontal="right" vertical="center" wrapText="1"/>
    </xf>
    <xf numFmtId="0" fontId="14" fillId="3" borderId="4" xfId="19" applyFont="1" applyFill="1" applyBorder="1" applyAlignment="1">
      <alignment horizontal="right" vertical="top" wrapText="1"/>
    </xf>
    <xf numFmtId="0" fontId="23" fillId="3" borderId="4" xfId="19" applyFont="1" applyFill="1" applyBorder="1" applyAlignment="1">
      <alignment horizontal="right" vertical="top" wrapText="1"/>
    </xf>
    <xf numFmtId="2" fontId="41" fillId="3" borderId="0" xfId="19" applyNumberFormat="1" applyFont="1" applyFill="1" applyAlignment="1">
      <alignment horizontal="center" vertical="center"/>
    </xf>
    <xf numFmtId="0" fontId="42" fillId="3" borderId="0" xfId="19" applyFont="1" applyFill="1" applyAlignment="1">
      <alignment horizontal="center" vertical="center"/>
    </xf>
    <xf numFmtId="166" fontId="16" fillId="3" borderId="0" xfId="19" applyNumberFormat="1" applyFont="1" applyFill="1" applyAlignment="1">
      <alignment horizontal="center" vertical="center"/>
    </xf>
    <xf numFmtId="166" fontId="15" fillId="3" borderId="0" xfId="19" applyNumberFormat="1" applyFont="1" applyFill="1" applyAlignment="1">
      <alignment horizontal="left" vertical="top" wrapText="1"/>
    </xf>
    <xf numFmtId="164" fontId="15" fillId="3" borderId="5" xfId="19" applyNumberFormat="1" applyFont="1" applyFill="1" applyBorder="1" applyAlignment="1">
      <alignment horizontal="center" vertical="center"/>
    </xf>
    <xf numFmtId="164" fontId="15" fillId="3" borderId="0" xfId="19" applyNumberFormat="1" applyFont="1" applyFill="1" applyAlignment="1">
      <alignment horizontal="center" vertical="center"/>
    </xf>
    <xf numFmtId="166" fontId="15" fillId="3" borderId="5" xfId="19" applyNumberFormat="1" applyFont="1" applyFill="1" applyBorder="1" applyAlignment="1">
      <alignment horizontal="center" vertical="center" wrapText="1"/>
    </xf>
    <xf numFmtId="166" fontId="16" fillId="3" borderId="5" xfId="19" applyNumberFormat="1" applyFont="1" applyFill="1" applyBorder="1" applyAlignment="1">
      <alignment horizontal="center" vertical="center"/>
    </xf>
    <xf numFmtId="166" fontId="15" fillId="3" borderId="5" xfId="19" applyNumberFormat="1" applyFont="1" applyFill="1" applyBorder="1" applyAlignment="1">
      <alignment horizontal="left" vertical="top" wrapText="1"/>
    </xf>
    <xf numFmtId="2" fontId="44" fillId="3" borderId="0" xfId="19" applyNumberFormat="1" applyFont="1" applyFill="1" applyAlignment="1">
      <alignment horizontal="center" vertical="center"/>
    </xf>
    <xf numFmtId="49" fontId="25" fillId="3" borderId="5" xfId="19" applyNumberFormat="1" applyFont="1" applyFill="1" applyBorder="1" applyAlignment="1">
      <alignment horizontal="left" vertical="center" wrapText="1"/>
    </xf>
    <xf numFmtId="2" fontId="45" fillId="3" borderId="0" xfId="19" applyNumberFormat="1" applyFont="1" applyFill="1" applyAlignment="1">
      <alignment horizontal="center" vertical="center"/>
    </xf>
    <xf numFmtId="0" fontId="45" fillId="3" borderId="0" xfId="19" applyFont="1" applyFill="1" applyAlignment="1">
      <alignment horizontal="center" vertical="center"/>
    </xf>
    <xf numFmtId="0" fontId="25" fillId="3" borderId="0" xfId="19" applyFont="1" applyFill="1" applyAlignment="1">
      <alignment horizontal="center" vertical="center"/>
    </xf>
    <xf numFmtId="2" fontId="25" fillId="3" borderId="0" xfId="19" applyNumberFormat="1" applyFont="1" applyFill="1" applyAlignment="1">
      <alignment horizontal="left" vertical="center"/>
    </xf>
    <xf numFmtId="0" fontId="45" fillId="3" borderId="5" xfId="19" applyFont="1" applyFill="1" applyBorder="1" applyAlignment="1">
      <alignment horizontal="center" vertical="center" wrapText="1"/>
    </xf>
    <xf numFmtId="49" fontId="28" fillId="3" borderId="0" xfId="19" applyNumberFormat="1" applyFont="1" applyFill="1" applyAlignment="1">
      <alignment vertical="center"/>
    </xf>
    <xf numFmtId="49" fontId="12" fillId="3" borderId="0" xfId="19" applyNumberFormat="1" applyFont="1" applyFill="1" applyAlignment="1">
      <alignment horizontal="center"/>
    </xf>
    <xf numFmtId="49" fontId="14" fillId="3" borderId="6" xfId="19" applyNumberFormat="1" applyFont="1" applyFill="1" applyBorder="1" applyAlignment="1">
      <alignment horizontal="center" vertical="center"/>
    </xf>
    <xf numFmtId="49" fontId="14" fillId="3" borderId="2" xfId="19" applyNumberFormat="1" applyFont="1" applyFill="1" applyBorder="1" applyAlignment="1">
      <alignment horizontal="center" vertical="center" wrapText="1"/>
    </xf>
    <xf numFmtId="2" fontId="11" fillId="3" borderId="5" xfId="19" applyNumberFormat="1" applyFill="1" applyBorder="1" applyAlignment="1">
      <alignment horizontal="center"/>
    </xf>
    <xf numFmtId="1" fontId="14" fillId="3" borderId="0" xfId="19" applyNumberFormat="1" applyFont="1" applyFill="1" applyAlignment="1">
      <alignment horizontal="left"/>
    </xf>
    <xf numFmtId="20" fontId="15" fillId="3" borderId="0" xfId="19" applyNumberFormat="1" applyFont="1" applyFill="1" applyAlignment="1">
      <alignment horizontal="center" vertical="center"/>
    </xf>
    <xf numFmtId="1" fontId="14" fillId="3" borderId="5" xfId="19" applyNumberFormat="1" applyFont="1" applyFill="1" applyBorder="1" applyAlignment="1">
      <alignment horizontal="left"/>
    </xf>
    <xf numFmtId="2" fontId="15" fillId="3" borderId="5" xfId="19" applyNumberFormat="1" applyFont="1" applyFill="1" applyBorder="1" applyAlignment="1">
      <alignment horizontal="center"/>
    </xf>
    <xf numFmtId="49" fontId="16" fillId="3" borderId="0" xfId="19" applyNumberFormat="1" applyFont="1" applyFill="1" applyAlignment="1">
      <alignment vertical="center"/>
    </xf>
    <xf numFmtId="2" fontId="15" fillId="3" borderId="5" xfId="19" applyNumberFormat="1" applyFont="1" applyFill="1" applyBorder="1" applyAlignment="1">
      <alignment horizontal="left" vertical="center" wrapText="1"/>
    </xf>
    <xf numFmtId="49" fontId="16" fillId="3" borderId="5" xfId="19" applyNumberFormat="1" applyFont="1" applyFill="1" applyBorder="1" applyAlignment="1">
      <alignment horizontal="center" vertical="center"/>
    </xf>
    <xf numFmtId="166" fontId="11" fillId="3" borderId="5" xfId="19" applyNumberFormat="1" applyFill="1" applyBorder="1" applyAlignment="1">
      <alignment horizontal="center" vertical="center" wrapText="1"/>
    </xf>
    <xf numFmtId="166" fontId="11" fillId="3" borderId="0" xfId="19" applyNumberFormat="1" applyFill="1" applyAlignment="1">
      <alignment horizontal="center" vertical="center" wrapText="1"/>
    </xf>
    <xf numFmtId="166" fontId="11" fillId="3" borderId="5" xfId="19" applyNumberFormat="1" applyFill="1" applyBorder="1" applyAlignment="1">
      <alignment horizontal="left" vertical="top" wrapText="1"/>
    </xf>
    <xf numFmtId="166" fontId="11" fillId="3" borderId="0" xfId="19" applyNumberFormat="1" applyFill="1" applyAlignment="1">
      <alignment horizontal="left" vertical="top" wrapText="1"/>
    </xf>
    <xf numFmtId="49" fontId="14" fillId="3" borderId="1" xfId="19" applyNumberFormat="1" applyFont="1" applyFill="1" applyBorder="1" applyAlignment="1">
      <alignment horizontal="left" vertical="center" wrapText="1"/>
    </xf>
    <xf numFmtId="0" fontId="1" fillId="3" borderId="0" xfId="64" applyFill="1" applyAlignment="1">
      <alignment horizontal="left"/>
    </xf>
    <xf numFmtId="49" fontId="20" fillId="3" borderId="1" xfId="19" applyNumberFormat="1" applyFont="1" applyFill="1" applyBorder="1" applyAlignment="1">
      <alignment horizontal="center" vertical="center"/>
    </xf>
    <xf numFmtId="49" fontId="16" fillId="3" borderId="0" xfId="0" applyNumberFormat="1" applyFont="1" applyFill="1" applyAlignment="1">
      <alignment wrapText="1"/>
    </xf>
    <xf numFmtId="49" fontId="19" fillId="3" borderId="1" xfId="19" applyNumberFormat="1" applyFont="1" applyFill="1" applyBorder="1" applyAlignment="1">
      <alignment horizontal="left" vertical="center"/>
    </xf>
    <xf numFmtId="0" fontId="1" fillId="3" borderId="0" xfId="64" applyFill="1" applyAlignment="1">
      <alignment horizontal="center" vertical="center"/>
    </xf>
    <xf numFmtId="0" fontId="14" fillId="3" borderId="0" xfId="19" applyFont="1" applyFill="1" applyAlignment="1">
      <alignment horizontal="right" vertical="top" wrapText="1"/>
    </xf>
    <xf numFmtId="49" fontId="14" fillId="3" borderId="5" xfId="19" applyNumberFormat="1" applyFont="1" applyFill="1" applyBorder="1" applyAlignment="1">
      <alignment horizontal="left" vertical="top"/>
    </xf>
    <xf numFmtId="49" fontId="14" fillId="3" borderId="5" xfId="19" applyNumberFormat="1" applyFont="1" applyFill="1" applyBorder="1" applyAlignment="1">
      <alignment horizontal="right" vertical="top" wrapText="1"/>
    </xf>
    <xf numFmtId="0" fontId="1" fillId="3" borderId="5" xfId="64" applyFill="1" applyBorder="1" applyAlignment="1">
      <alignment horizontal="center" vertical="center"/>
    </xf>
    <xf numFmtId="49" fontId="19" fillId="3" borderId="1" xfId="19" applyNumberFormat="1" applyFont="1" applyFill="1" applyBorder="1" applyAlignment="1">
      <alignment horizontal="right" vertical="top" wrapText="1"/>
    </xf>
    <xf numFmtId="49" fontId="19" fillId="3" borderId="1" xfId="19" applyNumberFormat="1" applyFont="1" applyFill="1" applyBorder="1" applyAlignment="1">
      <alignment horizontal="left" vertical="top" wrapText="1"/>
    </xf>
    <xf numFmtId="1" fontId="14" fillId="3" borderId="1" xfId="19" applyNumberFormat="1" applyFont="1" applyFill="1" applyBorder="1" applyAlignment="1">
      <alignment horizontal="center"/>
    </xf>
    <xf numFmtId="1" fontId="14" fillId="3" borderId="2" xfId="19" applyNumberFormat="1" applyFont="1" applyFill="1" applyBorder="1" applyAlignment="1">
      <alignment horizontal="left"/>
    </xf>
    <xf numFmtId="166" fontId="44" fillId="3" borderId="0" xfId="19" applyNumberFormat="1" applyFont="1" applyFill="1" applyAlignment="1">
      <alignment horizontal="center" vertical="center" wrapText="1"/>
    </xf>
    <xf numFmtId="49" fontId="43" fillId="5" borderId="0" xfId="0" applyNumberFormat="1" applyFont="1" applyFill="1" applyAlignment="1">
      <alignment horizontal="center" vertical="center"/>
    </xf>
    <xf numFmtId="49" fontId="43" fillId="5" borderId="0" xfId="0" applyNumberFormat="1" applyFont="1" applyFill="1" applyAlignment="1">
      <alignment horizontal="center" vertical="center" wrapText="1"/>
    </xf>
    <xf numFmtId="0" fontId="16" fillId="3" borderId="0" xfId="64" applyFont="1" applyFill="1" applyAlignment="1">
      <alignment horizontal="center"/>
    </xf>
    <xf numFmtId="0" fontId="16" fillId="3" borderId="0" xfId="64" applyFont="1" applyFill="1"/>
    <xf numFmtId="14" fontId="16" fillId="3" borderId="0" xfId="64" applyNumberFormat="1" applyFont="1" applyFill="1" applyAlignment="1">
      <alignment horizontal="center"/>
    </xf>
    <xf numFmtId="0" fontId="46" fillId="3" borderId="0" xfId="64" applyFont="1" applyFill="1"/>
    <xf numFmtId="0" fontId="47" fillId="0" borderId="0" xfId="64" applyFont="1"/>
    <xf numFmtId="0" fontId="46" fillId="3" borderId="1" xfId="64" applyFont="1" applyFill="1" applyBorder="1" applyAlignment="1">
      <alignment horizontal="center"/>
    </xf>
    <xf numFmtId="0" fontId="46" fillId="3" borderId="1" xfId="64" applyFont="1" applyFill="1" applyBorder="1"/>
    <xf numFmtId="0" fontId="46" fillId="3" borderId="2" xfId="64" applyFont="1" applyFill="1" applyBorder="1"/>
    <xf numFmtId="0" fontId="16" fillId="3" borderId="5" xfId="64" applyFont="1" applyFill="1" applyBorder="1"/>
    <xf numFmtId="0" fontId="16" fillId="3" borderId="1" xfId="64" applyFont="1" applyFill="1" applyBorder="1" applyAlignment="1">
      <alignment horizontal="center"/>
    </xf>
    <xf numFmtId="14" fontId="16" fillId="3" borderId="1" xfId="64" applyNumberFormat="1" applyFont="1" applyFill="1" applyBorder="1" applyAlignment="1">
      <alignment horizontal="center"/>
    </xf>
    <xf numFmtId="0" fontId="16" fillId="3" borderId="3" xfId="64" applyFont="1" applyFill="1" applyBorder="1" applyAlignment="1">
      <alignment horizontal="center"/>
    </xf>
    <xf numFmtId="0" fontId="48" fillId="3" borderId="0" xfId="64" applyFont="1" applyFill="1" applyAlignment="1">
      <alignment horizontal="center"/>
    </xf>
    <xf numFmtId="14" fontId="48" fillId="3" borderId="0" xfId="64" applyNumberFormat="1" applyFont="1" applyFill="1" applyAlignment="1">
      <alignment horizontal="center"/>
    </xf>
    <xf numFmtId="49" fontId="49" fillId="3" borderId="5" xfId="19" applyNumberFormat="1" applyFont="1" applyFill="1" applyBorder="1" applyAlignment="1">
      <alignment horizontal="left" vertical="center" wrapText="1"/>
    </xf>
    <xf numFmtId="2" fontId="49" fillId="3" borderId="0" xfId="19" applyNumberFormat="1" applyFont="1" applyFill="1" applyAlignment="1">
      <alignment horizontal="center" vertical="center"/>
    </xf>
    <xf numFmtId="2" fontId="50" fillId="3" borderId="0" xfId="19" applyNumberFormat="1" applyFont="1" applyFill="1" applyAlignment="1">
      <alignment horizontal="center" vertical="center"/>
    </xf>
    <xf numFmtId="0" fontId="49" fillId="3" borderId="0" xfId="19" applyFont="1" applyFill="1" applyAlignment="1">
      <alignment horizontal="center" vertical="center"/>
    </xf>
    <xf numFmtId="2" fontId="49" fillId="3" borderId="0" xfId="19" applyNumberFormat="1" applyFont="1" applyFill="1" applyAlignment="1">
      <alignment horizontal="left" vertical="center"/>
    </xf>
    <xf numFmtId="0" fontId="50" fillId="3" borderId="5" xfId="19" applyFont="1" applyFill="1" applyBorder="1" applyAlignment="1">
      <alignment horizontal="center" vertical="center" wrapText="1"/>
    </xf>
    <xf numFmtId="0" fontId="50" fillId="3" borderId="0" xfId="19" applyFont="1" applyFill="1" applyAlignment="1">
      <alignment horizontal="center" vertical="center"/>
    </xf>
    <xf numFmtId="0" fontId="28" fillId="3" borderId="0" xfId="19" applyFont="1" applyFill="1" applyAlignment="1">
      <alignment horizontal="center" vertical="center"/>
    </xf>
    <xf numFmtId="0" fontId="15" fillId="3" borderId="4" xfId="64" applyFont="1" applyFill="1" applyBorder="1" applyAlignment="1">
      <alignment horizontal="left" wrapText="1"/>
    </xf>
    <xf numFmtId="166" fontId="51" fillId="3" borderId="0" xfId="19" applyNumberFormat="1" applyFont="1" applyFill="1" applyAlignment="1">
      <alignment horizontal="center" vertical="center"/>
    </xf>
    <xf numFmtId="2" fontId="52" fillId="3" borderId="5" xfId="19" applyNumberFormat="1" applyFont="1" applyFill="1" applyBorder="1" applyAlignment="1">
      <alignment horizontal="center" vertical="center"/>
    </xf>
    <xf numFmtId="1" fontId="52" fillId="3" borderId="0" xfId="19" applyNumberFormat="1" applyFont="1" applyFill="1" applyAlignment="1">
      <alignment horizontal="center" vertical="center"/>
    </xf>
    <xf numFmtId="49" fontId="51" fillId="3" borderId="0" xfId="19" applyNumberFormat="1" applyFont="1" applyFill="1" applyAlignment="1">
      <alignment horizontal="center" vertical="center"/>
    </xf>
    <xf numFmtId="0" fontId="15" fillId="3" borderId="0" xfId="64" applyFont="1" applyFill="1" applyAlignment="1">
      <alignment wrapText="1"/>
    </xf>
    <xf numFmtId="0" fontId="9" fillId="3" borderId="0" xfId="64" applyFont="1" applyFill="1" applyAlignment="1">
      <alignment horizontal="center"/>
    </xf>
    <xf numFmtId="14" fontId="9" fillId="3" borderId="0" xfId="64" applyNumberFormat="1" applyFont="1" applyFill="1" applyAlignment="1">
      <alignment horizontal="center"/>
    </xf>
    <xf numFmtId="49" fontId="53" fillId="3" borderId="5" xfId="19" applyNumberFormat="1" applyFont="1" applyFill="1" applyBorder="1" applyAlignment="1">
      <alignment horizontal="left" vertical="center" wrapText="1"/>
    </xf>
    <xf numFmtId="49" fontId="29" fillId="3" borderId="5" xfId="19" applyNumberFormat="1" applyFont="1" applyFill="1" applyBorder="1" applyAlignment="1">
      <alignment horizontal="left" vertical="center" wrapText="1"/>
    </xf>
    <xf numFmtId="2" fontId="29" fillId="3" borderId="0" xfId="19" applyNumberFormat="1" applyFont="1" applyFill="1" applyAlignment="1">
      <alignment horizontal="center" vertical="center"/>
    </xf>
    <xf numFmtId="2" fontId="30" fillId="3" borderId="0" xfId="19" applyNumberFormat="1" applyFont="1" applyFill="1" applyAlignment="1">
      <alignment horizontal="center" vertical="center"/>
    </xf>
    <xf numFmtId="0" fontId="29" fillId="3" borderId="0" xfId="19" applyFont="1" applyFill="1" applyAlignment="1">
      <alignment horizontal="center" vertical="center"/>
    </xf>
    <xf numFmtId="0" fontId="12" fillId="3" borderId="5" xfId="19" applyFont="1" applyFill="1" applyBorder="1"/>
    <xf numFmtId="0" fontId="18" fillId="3" borderId="5" xfId="19" applyFont="1" applyFill="1" applyBorder="1" applyAlignment="1">
      <alignment wrapText="1"/>
    </xf>
    <xf numFmtId="0" fontId="18" fillId="3" borderId="5" xfId="19" applyFont="1" applyFill="1" applyBorder="1"/>
    <xf numFmtId="0" fontId="11" fillId="3" borderId="5" xfId="19" applyFill="1" applyBorder="1"/>
    <xf numFmtId="0" fontId="21" fillId="3" borderId="5" xfId="19" applyFont="1" applyFill="1" applyBorder="1"/>
    <xf numFmtId="164" fontId="18" fillId="3" borderId="5" xfId="19" applyNumberFormat="1" applyFont="1" applyFill="1" applyBorder="1" applyAlignment="1">
      <alignment wrapText="1"/>
    </xf>
    <xf numFmtId="0" fontId="11" fillId="3" borderId="5" xfId="19" applyFill="1" applyBorder="1" applyAlignment="1">
      <alignment wrapText="1"/>
    </xf>
    <xf numFmtId="164" fontId="11" fillId="3" borderId="5" xfId="19" applyNumberFormat="1" applyFill="1" applyBorder="1"/>
    <xf numFmtId="0" fontId="6" fillId="0" borderId="0" xfId="65" applyFont="1" applyAlignment="1">
      <alignment horizontal="center"/>
    </xf>
    <xf numFmtId="0" fontId="6" fillId="0" borderId="0" xfId="65" applyFont="1" applyAlignment="1">
      <alignment horizontal="left"/>
    </xf>
    <xf numFmtId="0" fontId="2" fillId="0" borderId="0" xfId="65" applyAlignment="1">
      <alignment horizontal="center"/>
    </xf>
    <xf numFmtId="1" fontId="2" fillId="0" borderId="0" xfId="65" applyNumberFormat="1" applyAlignment="1">
      <alignment horizontal="center"/>
    </xf>
    <xf numFmtId="0" fontId="6" fillId="0" borderId="0" xfId="65" applyFont="1"/>
    <xf numFmtId="0" fontId="2" fillId="0" borderId="0" xfId="65"/>
    <xf numFmtId="49" fontId="6" fillId="0" borderId="0" xfId="65" applyNumberFormat="1" applyFont="1" applyAlignment="1">
      <alignment horizontal="center"/>
    </xf>
    <xf numFmtId="20" fontId="6" fillId="0" borderId="0" xfId="65" applyNumberFormat="1" applyFont="1" applyAlignment="1">
      <alignment horizontal="center"/>
    </xf>
    <xf numFmtId="0" fontId="2" fillId="0" borderId="0" xfId="65" applyAlignment="1">
      <alignment horizontal="left"/>
    </xf>
    <xf numFmtId="0" fontId="2" fillId="0" borderId="3" xfId="65" applyBorder="1" applyAlignment="1">
      <alignment horizontal="center"/>
    </xf>
    <xf numFmtId="0" fontId="6" fillId="0" borderId="3" xfId="65" applyFont="1" applyBorder="1" applyAlignment="1">
      <alignment horizontal="center"/>
    </xf>
    <xf numFmtId="0" fontId="2" fillId="0" borderId="1" xfId="65" applyBorder="1" applyAlignment="1">
      <alignment horizontal="center"/>
    </xf>
    <xf numFmtId="0" fontId="6" fillId="0" borderId="1" xfId="65" applyFont="1" applyBorder="1" applyAlignment="1">
      <alignment horizontal="center"/>
    </xf>
    <xf numFmtId="0" fontId="2" fillId="0" borderId="2" xfId="65" applyBorder="1"/>
    <xf numFmtId="0" fontId="6" fillId="0" borderId="1" xfId="65" applyFont="1" applyBorder="1" applyAlignment="1">
      <alignment horizontal="center" vertical="center"/>
    </xf>
    <xf numFmtId="0" fontId="6" fillId="0" borderId="3" xfId="65" applyFont="1" applyBorder="1"/>
    <xf numFmtId="0" fontId="6" fillId="0" borderId="2" xfId="65" applyFont="1" applyBorder="1" applyAlignment="1">
      <alignment horizontal="right"/>
    </xf>
    <xf numFmtId="0" fontId="2" fillId="0" borderId="3" xfId="65" applyBorder="1"/>
    <xf numFmtId="0" fontId="6" fillId="0" borderId="7" xfId="65" applyFont="1" applyBorder="1" applyAlignment="1">
      <alignment horizontal="center"/>
    </xf>
    <xf numFmtId="0" fontId="6" fillId="0" borderId="8" xfId="65" applyFont="1" applyBorder="1" applyAlignment="1">
      <alignment horizontal="center"/>
    </xf>
    <xf numFmtId="0" fontId="6" fillId="0" borderId="5" xfId="65" applyFont="1" applyBorder="1" applyAlignment="1">
      <alignment horizontal="left" indent="1"/>
    </xf>
    <xf numFmtId="0" fontId="6" fillId="0" borderId="4" xfId="65" applyFont="1" applyBorder="1" applyAlignment="1">
      <alignment horizontal="left" indent="1"/>
    </xf>
    <xf numFmtId="0" fontId="6" fillId="0" borderId="4" xfId="65" applyFont="1" applyBorder="1" applyAlignment="1">
      <alignment horizontal="center"/>
    </xf>
    <xf numFmtId="2" fontId="6" fillId="0" borderId="4" xfId="65" applyNumberFormat="1" applyFont="1" applyBorder="1" applyAlignment="1">
      <alignment horizontal="center"/>
    </xf>
    <xf numFmtId="1" fontId="6" fillId="0" borderId="0" xfId="65" applyNumberFormat="1" applyFont="1" applyAlignment="1">
      <alignment horizontal="center"/>
    </xf>
    <xf numFmtId="0" fontId="6" fillId="0" borderId="2" xfId="65" applyFont="1" applyBorder="1" applyAlignment="1">
      <alignment horizontal="left" indent="1"/>
    </xf>
    <xf numFmtId="0" fontId="6" fillId="0" borderId="3" xfId="65" applyFont="1" applyBorder="1" applyAlignment="1">
      <alignment horizontal="left" indent="1"/>
    </xf>
    <xf numFmtId="0" fontId="1" fillId="0" borderId="0" xfId="66" applyAlignment="1">
      <alignment horizontal="center" vertical="center"/>
    </xf>
    <xf numFmtId="0" fontId="2" fillId="0" borderId="4" xfId="65" applyBorder="1" applyAlignment="1">
      <alignment horizontal="center"/>
    </xf>
    <xf numFmtId="164" fontId="2" fillId="0" borderId="0" xfId="66" applyNumberFormat="1" applyFont="1" applyAlignment="1">
      <alignment horizontal="center" vertical="center"/>
    </xf>
    <xf numFmtId="0" fontId="2" fillId="0" borderId="0" xfId="65" applyAlignment="1">
      <alignment horizontal="center" vertical="center"/>
    </xf>
    <xf numFmtId="1" fontId="6" fillId="0" borderId="4" xfId="65" applyNumberFormat="1" applyFont="1" applyBorder="1" applyAlignment="1">
      <alignment horizontal="center"/>
    </xf>
    <xf numFmtId="1" fontId="2" fillId="0" borderId="0" xfId="65" applyNumberFormat="1" applyAlignment="1">
      <alignment horizontal="center" vertical="center"/>
    </xf>
    <xf numFmtId="0" fontId="8" fillId="0" borderId="0" xfId="65" applyFont="1" applyAlignment="1">
      <alignment horizontal="center" vertical="center"/>
    </xf>
    <xf numFmtId="167" fontId="6" fillId="0" borderId="4" xfId="65" applyNumberFormat="1" applyFont="1" applyBorder="1" applyAlignment="1">
      <alignment horizontal="center"/>
    </xf>
    <xf numFmtId="1" fontId="8" fillId="0" borderId="0" xfId="65" applyNumberFormat="1" applyFont="1" applyAlignment="1">
      <alignment horizontal="center" vertical="center"/>
    </xf>
    <xf numFmtId="0" fontId="2" fillId="0" borderId="7" xfId="65" applyBorder="1" applyAlignment="1">
      <alignment horizontal="center"/>
    </xf>
    <xf numFmtId="2" fontId="2" fillId="0" borderId="7" xfId="65" applyNumberFormat="1" applyBorder="1" applyAlignment="1">
      <alignment horizontal="center"/>
    </xf>
    <xf numFmtId="1" fontId="6" fillId="0" borderId="7" xfId="65" applyNumberFormat="1" applyFont="1" applyBorder="1" applyAlignment="1">
      <alignment horizontal="center"/>
    </xf>
    <xf numFmtId="0" fontId="2" fillId="0" borderId="7" xfId="65" applyBorder="1"/>
    <xf numFmtId="0" fontId="55" fillId="0" borderId="0" xfId="65" applyFont="1" applyAlignment="1">
      <alignment horizontal="left"/>
    </xf>
    <xf numFmtId="0" fontId="56" fillId="0" borderId="0" xfId="65" applyFont="1" applyAlignment="1">
      <alignment horizontal="left"/>
    </xf>
    <xf numFmtId="0" fontId="54" fillId="0" borderId="0" xfId="0" applyFont="1"/>
    <xf numFmtId="49" fontId="2" fillId="0" borderId="0" xfId="19" applyNumberFormat="1" applyFont="1" applyAlignment="1">
      <alignment horizontal="left" vertical="center"/>
    </xf>
    <xf numFmtId="1" fontId="6" fillId="0" borderId="4" xfId="65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49" fontId="2" fillId="0" borderId="8" xfId="19" applyNumberFormat="1" applyFont="1" applyBorder="1" applyAlignment="1">
      <alignment horizontal="left" vertical="center"/>
    </xf>
    <xf numFmtId="49" fontId="2" fillId="0" borderId="4" xfId="19" applyNumberFormat="1" applyFont="1" applyBorder="1" applyAlignment="1">
      <alignment horizontal="left" vertical="center"/>
    </xf>
    <xf numFmtId="49" fontId="2" fillId="0" borderId="3" xfId="19" applyNumberFormat="1" applyFont="1" applyBorder="1" applyAlignment="1">
      <alignment horizontal="left" vertical="center"/>
    </xf>
    <xf numFmtId="0" fontId="8" fillId="0" borderId="6" xfId="13" applyFont="1" applyBorder="1"/>
    <xf numFmtId="0" fontId="8" fillId="0" borderId="5" xfId="13" applyFont="1" applyBorder="1"/>
    <xf numFmtId="0" fontId="8" fillId="0" borderId="2" xfId="13" applyFont="1" applyBorder="1"/>
  </cellXfs>
  <cellStyles count="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5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Good 2" xfId="18" xr:uid="{00000000-0005-0000-0000-00001D000000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4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Normal" xfId="0" builtinId="0"/>
    <cellStyle name="Normal 2" xfId="13" xr:uid="{00000000-0005-0000-0000-00003C000000}"/>
    <cellStyle name="Normal 2 2" xfId="65" xr:uid="{623A2EA1-A8C6-3F4C-9F89-5D7615B05EB0}"/>
    <cellStyle name="Normal 3" xfId="16" xr:uid="{00000000-0005-0000-0000-00003D000000}"/>
    <cellStyle name="Normal 4" xfId="19" xr:uid="{00000000-0005-0000-0000-00003E000000}"/>
    <cellStyle name="Normal 4 2" xfId="66" xr:uid="{7AA61B64-0EA4-824A-813E-0F58F964EA29}"/>
    <cellStyle name="Normal 5" xfId="64" xr:uid="{68058690-04DD-4B16-BA7D-33ED0B1E1775}"/>
    <cellStyle name="Standard" xfId="17" xr:uid="{00000000-0005-0000-0000-00003F000000}"/>
  </cellStyles>
  <dxfs count="0"/>
  <tableStyles count="0" defaultTableStyle="TableStyleMedium9" defaultPivotStyle="PivotStyleMedium7"/>
  <colors>
    <mruColors>
      <color rgb="FF07D14D"/>
      <color rgb="FF0BB12B"/>
      <color rgb="FFF7FF82"/>
      <color rgb="FF00DE34"/>
      <color rgb="FFE6D6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strRef>
          <c:f>'Cell Counts - PARAGON I'!$A$30</c:f>
          <c:strCache>
            <c:ptCount val="1"/>
            <c:pt idx="0">
              <c:v>PRO</c:v>
            </c:pt>
          </c:strCache>
        </c:strRef>
      </c:tx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'Cell Counts - PARAGON I'!$A$35</c:f>
              <c:strCache>
                <c:ptCount val="1"/>
                <c:pt idx="0">
                  <c:v>S2C1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1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'Cell Counts - PARAGON I'!$M$9:$M$14</c:f>
              <c:numCache>
                <c:formatCode>0</c:formatCode>
                <c:ptCount val="6"/>
                <c:pt idx="0">
                  <c:v>47144.139710977433</c:v>
                </c:pt>
                <c:pt idx="1">
                  <c:v>127979.15288840323</c:v>
                </c:pt>
                <c:pt idx="2">
                  <c:v>204770.66766132039</c:v>
                </c:pt>
                <c:pt idx="3">
                  <c:v>215453.40061626397</c:v>
                </c:pt>
                <c:pt idx="4">
                  <c:v>224947.02290685606</c:v>
                </c:pt>
                <c:pt idx="5">
                  <c:v>226204.0548305015</c:v>
                </c:pt>
              </c:numCache>
            </c:numRef>
          </c:xVal>
          <c:yVal>
            <c:numRef>
              <c:f>'Cell Counts - PARAGON I'!$F$9:$F$14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1-8641-A2E6-A3BD4E57470B}"/>
            </c:ext>
          </c:extLst>
        </c:ser>
        <c:ser>
          <c:idx val="1"/>
          <c:order val="1"/>
          <c:tx>
            <c:strRef>
              <c:f>'Cell Counts - PARAGON I'!$A$36</c:f>
              <c:strCache>
                <c:ptCount val="1"/>
                <c:pt idx="0">
                  <c:v>S2C24</c:v>
                </c:pt>
              </c:strCache>
            </c:strRef>
          </c:tx>
          <c:spPr>
            <a:ln w="47625">
              <a:noFill/>
            </a:ln>
          </c:spPr>
          <c:xVal>
            <c:numRef>
              <c:f>'Cell Counts - PARAGON I'!$M$15:$M$20</c:f>
              <c:numCache>
                <c:formatCode>0</c:formatCode>
                <c:ptCount val="6"/>
                <c:pt idx="0">
                  <c:v>36118.17491406187</c:v>
                </c:pt>
                <c:pt idx="1">
                  <c:v>104432.28084752805</c:v>
                </c:pt>
                <c:pt idx="2">
                  <c:v>263443.40546097577</c:v>
                </c:pt>
                <c:pt idx="3">
                  <c:v>245914.34776572321</c:v>
                </c:pt>
                <c:pt idx="4">
                  <c:v>219209.39825299254</c:v>
                </c:pt>
                <c:pt idx="5">
                  <c:v>227534.40672549838</c:v>
                </c:pt>
              </c:numCache>
            </c:numRef>
          </c:xVal>
          <c:yVal>
            <c:numRef>
              <c:f>'Cell Counts - PARAGON I'!$F$15:$F$20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51-8641-A2E6-A3BD4E57470B}"/>
            </c:ext>
          </c:extLst>
        </c:ser>
        <c:ser>
          <c:idx val="2"/>
          <c:order val="2"/>
          <c:tx>
            <c:strRef>
              <c:f>'Cell Counts - PARAGON I'!$A$37</c:f>
              <c:strCache>
                <c:ptCount val="1"/>
                <c:pt idx="0">
                  <c:v>S2C38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13"/>
          </c:marker>
          <c:xVal>
            <c:numRef>
              <c:f>'Cell Counts - PARAGON I'!$M$21:$M$26</c:f>
              <c:numCache>
                <c:formatCode>0</c:formatCode>
                <c:ptCount val="6"/>
                <c:pt idx="0">
                  <c:v>95307.952241495819</c:v>
                </c:pt>
                <c:pt idx="1">
                  <c:v>252706.13296246962</c:v>
                </c:pt>
                <c:pt idx="2">
                  <c:v>251599.44875995771</c:v>
                </c:pt>
                <c:pt idx="3">
                  <c:v>252069.50743118854</c:v>
                </c:pt>
                <c:pt idx="4">
                  <c:v>252460.62072376956</c:v>
                </c:pt>
                <c:pt idx="5">
                  <c:v>267561.62357504637</c:v>
                </c:pt>
              </c:numCache>
            </c:numRef>
          </c:xVal>
          <c:yVal>
            <c:numRef>
              <c:f>'Cell Counts - PARAGON I'!$F$21:$F$26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51-8641-A2E6-A3BD4E574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5258824"/>
        <c:axId val="-2095923912"/>
      </c:scatterChart>
      <c:valAx>
        <c:axId val="-2095258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cells/ml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2095923912"/>
        <c:crosses val="max"/>
        <c:crossBetween val="midCat"/>
      </c:valAx>
      <c:valAx>
        <c:axId val="-2095923912"/>
        <c:scaling>
          <c:orientation val="maxMin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depth</a:t>
                </a:r>
                <a:r>
                  <a:rPr lang="en-US" sz="1400" baseline="0"/>
                  <a:t> (m)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2095258824"/>
        <c:crosses val="autoZero"/>
        <c:crossBetween val="midCat"/>
        <c:majorUnit val="25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SYN</a:t>
            </a:r>
          </a:p>
        </c:rich>
      </c:tx>
      <c:layout>
        <c:manualLayout>
          <c:xMode val="edge"/>
          <c:yMode val="edge"/>
          <c:x val="0.45099546786302874"/>
          <c:y val="2.083333333333333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'Cell Counts - PARAGON I'!$A$35</c:f>
              <c:strCache>
                <c:ptCount val="1"/>
                <c:pt idx="0">
                  <c:v>S2C1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1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'Cell Counts - PARAGON I'!$O$9:$O$14</c:f>
              <c:numCache>
                <c:formatCode>0</c:formatCode>
                <c:ptCount val="6"/>
                <c:pt idx="0">
                  <c:v>40.852807375197081</c:v>
                </c:pt>
                <c:pt idx="1">
                  <c:v>1004.025649135923</c:v>
                </c:pt>
                <c:pt idx="2">
                  <c:v>1517.3442745244311</c:v>
                </c:pt>
                <c:pt idx="3">
                  <c:v>1079.8910373777517</c:v>
                </c:pt>
                <c:pt idx="4">
                  <c:v>629.08053316306155</c:v>
                </c:pt>
                <c:pt idx="5">
                  <c:v>435.93531970778946</c:v>
                </c:pt>
              </c:numCache>
            </c:numRef>
          </c:xVal>
          <c:yVal>
            <c:numRef>
              <c:f>'Cell Counts - PARAGON I'!$F$9:$F$14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3-1645-A295-0F45F6233A4B}"/>
            </c:ext>
          </c:extLst>
        </c:ser>
        <c:ser>
          <c:idx val="1"/>
          <c:order val="1"/>
          <c:tx>
            <c:strRef>
              <c:f>'Cell Counts - PARAGON I'!$A$36</c:f>
              <c:strCache>
                <c:ptCount val="1"/>
                <c:pt idx="0">
                  <c:v>S2C24</c:v>
                </c:pt>
              </c:strCache>
            </c:strRef>
          </c:tx>
          <c:spPr>
            <a:ln w="47625">
              <a:noFill/>
            </a:ln>
          </c:spPr>
          <c:xVal>
            <c:numRef>
              <c:f>'Cell Counts - PARAGON I'!$O$15:$O$20</c:f>
              <c:numCache>
                <c:formatCode>0</c:formatCode>
                <c:ptCount val="6"/>
                <c:pt idx="0">
                  <c:v>0</c:v>
                </c:pt>
                <c:pt idx="1">
                  <c:v>432.57760104457236</c:v>
                </c:pt>
                <c:pt idx="2">
                  <c:v>1570.79543721747</c:v>
                </c:pt>
                <c:pt idx="3">
                  <c:v>927.86449552747979</c:v>
                </c:pt>
                <c:pt idx="4">
                  <c:v>1110.4416046586864</c:v>
                </c:pt>
                <c:pt idx="5">
                  <c:v>839.97935154003085</c:v>
                </c:pt>
              </c:numCache>
            </c:numRef>
          </c:xVal>
          <c:yVal>
            <c:numRef>
              <c:f>'Cell Counts - PARAGON I'!$F$15:$F$20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3-1645-A295-0F45F6233A4B}"/>
            </c:ext>
          </c:extLst>
        </c:ser>
        <c:ser>
          <c:idx val="2"/>
          <c:order val="2"/>
          <c:tx>
            <c:strRef>
              <c:f>'Cell Counts - PARAGON I'!$A$37</c:f>
              <c:strCache>
                <c:ptCount val="1"/>
                <c:pt idx="0">
                  <c:v>S2C38</c:v>
                </c:pt>
              </c:strCache>
            </c:strRef>
          </c:tx>
          <c:spPr>
            <a:ln w="47625">
              <a:noFill/>
            </a:ln>
          </c:spPr>
          <c:xVal>
            <c:numRef>
              <c:f>'Cell Counts - PARAGON I'!$O$21:$O$26</c:f>
              <c:numCache>
                <c:formatCode>0</c:formatCode>
                <c:ptCount val="6"/>
                <c:pt idx="0">
                  <c:v>254.56183825185852</c:v>
                </c:pt>
                <c:pt idx="1">
                  <c:v>1255.0144950246806</c:v>
                </c:pt>
                <c:pt idx="2">
                  <c:v>1855.2598313562385</c:v>
                </c:pt>
                <c:pt idx="3">
                  <c:v>1095.9543801356022</c:v>
                </c:pt>
                <c:pt idx="4">
                  <c:v>1105.7542082759901</c:v>
                </c:pt>
                <c:pt idx="5">
                  <c:v>1154.1391675619864</c:v>
                </c:pt>
              </c:numCache>
            </c:numRef>
          </c:xVal>
          <c:yVal>
            <c:numRef>
              <c:f>'Cell Counts - PARAGON I'!$F$21:$F$26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33-1645-A295-0F45F6233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5258824"/>
        <c:axId val="-2095923912"/>
      </c:scatterChart>
      <c:valAx>
        <c:axId val="-2095258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cells/ml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2095923912"/>
        <c:crosses val="max"/>
        <c:crossBetween val="midCat"/>
      </c:valAx>
      <c:valAx>
        <c:axId val="-2095923912"/>
        <c:scaling>
          <c:orientation val="maxMin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depth</a:t>
                </a:r>
                <a:r>
                  <a:rPr lang="en-US" sz="1400" baseline="0"/>
                  <a:t> (m)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2095258824"/>
        <c:crosses val="autoZero"/>
        <c:crossBetween val="midCat"/>
        <c:majorUnit val="25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PEUK</a:t>
            </a:r>
          </a:p>
        </c:rich>
      </c:tx>
      <c:layout>
        <c:manualLayout>
          <c:xMode val="edge"/>
          <c:yMode val="edge"/>
          <c:x val="0.45099546786302874"/>
          <c:y val="2.083333333333333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'Cell Counts - PARAGON I'!$A$35</c:f>
              <c:strCache>
                <c:ptCount val="1"/>
                <c:pt idx="0">
                  <c:v>S2C1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1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'Cell Counts - PARAGON I'!$Q$9:$Q$14</c:f>
              <c:numCache>
                <c:formatCode>0</c:formatCode>
                <c:ptCount val="6"/>
                <c:pt idx="0">
                  <c:v>1470.7010655070949</c:v>
                </c:pt>
                <c:pt idx="1">
                  <c:v>1052.7647583172786</c:v>
                </c:pt>
                <c:pt idx="2">
                  <c:v>789.01902275270425</c:v>
                </c:pt>
                <c:pt idx="3">
                  <c:v>1049.613718572768</c:v>
                </c:pt>
                <c:pt idx="4">
                  <c:v>974.06018038151478</c:v>
                </c:pt>
                <c:pt idx="5">
                  <c:v>862.59541984732812</c:v>
                </c:pt>
              </c:numCache>
            </c:numRef>
          </c:xVal>
          <c:yVal>
            <c:numRef>
              <c:f>'Cell Counts - PARAGON I'!$F$9:$F$14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E-434A-AB9E-1F9BC95269C1}"/>
            </c:ext>
          </c:extLst>
        </c:ser>
        <c:ser>
          <c:idx val="1"/>
          <c:order val="1"/>
          <c:tx>
            <c:strRef>
              <c:f>'Cell Counts - PARAGON I'!$A$36</c:f>
              <c:strCache>
                <c:ptCount val="1"/>
                <c:pt idx="0">
                  <c:v>S2C24</c:v>
                </c:pt>
              </c:strCache>
            </c:strRef>
          </c:tx>
          <c:spPr>
            <a:ln w="47625">
              <a:noFill/>
            </a:ln>
          </c:spPr>
          <c:xVal>
            <c:numRef>
              <c:f>'Cell Counts - PARAGON I'!$Q$15:$Q$20</c:f>
              <c:numCache>
                <c:formatCode>0</c:formatCode>
                <c:ptCount val="6"/>
                <c:pt idx="0">
                  <c:v>1991.8858421936202</c:v>
                </c:pt>
                <c:pt idx="1">
                  <c:v>1207.1933052406671</c:v>
                </c:pt>
                <c:pt idx="2">
                  <c:v>800.40531832737315</c:v>
                </c:pt>
                <c:pt idx="3">
                  <c:v>1069.0612665860092</c:v>
                </c:pt>
                <c:pt idx="4">
                  <c:v>1110.4416046586864</c:v>
                </c:pt>
                <c:pt idx="5">
                  <c:v>1099.9729603500405</c:v>
                </c:pt>
              </c:numCache>
            </c:numRef>
          </c:xVal>
          <c:yVal>
            <c:numRef>
              <c:f>'Cell Counts - PARAGON I'!$F$15:$F$20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2E-434A-AB9E-1F9BC95269C1}"/>
            </c:ext>
          </c:extLst>
        </c:ser>
        <c:ser>
          <c:idx val="2"/>
          <c:order val="2"/>
          <c:tx>
            <c:strRef>
              <c:f>'Cell Counts - PARAGON I'!$A$37</c:f>
              <c:strCache>
                <c:ptCount val="1"/>
                <c:pt idx="0">
                  <c:v>S2C38</c:v>
                </c:pt>
              </c:strCache>
            </c:strRef>
          </c:tx>
          <c:spPr>
            <a:ln w="47625">
              <a:noFill/>
            </a:ln>
          </c:spPr>
          <c:xVal>
            <c:numRef>
              <c:f>'Cell Counts - PARAGON I'!$Q$21:$Q$26</c:f>
              <c:numCache>
                <c:formatCode>0</c:formatCode>
                <c:ptCount val="6"/>
                <c:pt idx="0">
                  <c:v>1781.9328677630094</c:v>
                </c:pt>
                <c:pt idx="1">
                  <c:v>1284.8957925252682</c:v>
                </c:pt>
                <c:pt idx="2">
                  <c:v>1058.708055936984</c:v>
                </c:pt>
                <c:pt idx="3">
                  <c:v>890.4629338601768</c:v>
                </c:pt>
                <c:pt idx="4">
                  <c:v>806.90171955274957</c:v>
                </c:pt>
                <c:pt idx="5">
                  <c:v>908.17508267172684</c:v>
                </c:pt>
              </c:numCache>
            </c:numRef>
          </c:xVal>
          <c:yVal>
            <c:numRef>
              <c:f>'Cell Counts - PARAGON I'!$F$21:$F$26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2E-434A-AB9E-1F9BC9526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5258824"/>
        <c:axId val="-2095923912"/>
      </c:scatterChart>
      <c:valAx>
        <c:axId val="-2095258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cells/ml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2095923912"/>
        <c:crosses val="max"/>
        <c:crossBetween val="midCat"/>
      </c:valAx>
      <c:valAx>
        <c:axId val="-2095923912"/>
        <c:scaling>
          <c:orientation val="maxMin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depth</a:t>
                </a:r>
                <a:r>
                  <a:rPr lang="en-US" sz="1400" baseline="0"/>
                  <a:t> (m)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2095258824"/>
        <c:crosses val="autoZero"/>
        <c:crossBetween val="midCat"/>
        <c:majorUnit val="25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HET</a:t>
            </a:r>
          </a:p>
        </c:rich>
      </c:tx>
      <c:layout>
        <c:manualLayout>
          <c:xMode val="edge"/>
          <c:yMode val="edge"/>
          <c:x val="0.45099546786302874"/>
          <c:y val="2.083333333333333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'Cell Counts - PARAGON I'!$A$35</c:f>
              <c:strCache>
                <c:ptCount val="1"/>
                <c:pt idx="0">
                  <c:v>S2C1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1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'Cell Counts - PARAGON I'!$S$9:$S$14</c:f>
              <c:numCache>
                <c:formatCode>0</c:formatCode>
                <c:ptCount val="6"/>
                <c:pt idx="0">
                  <c:v>296231.91110913816</c:v>
                </c:pt>
                <c:pt idx="1">
                  <c:v>382480.12924204831</c:v>
                </c:pt>
                <c:pt idx="2">
                  <c:v>471636.84987671475</c:v>
                </c:pt>
                <c:pt idx="3">
                  <c:v>615749.16476018692</c:v>
                </c:pt>
                <c:pt idx="4">
                  <c:v>628759.42724405567</c:v>
                </c:pt>
                <c:pt idx="5">
                  <c:v>642263.94850794296</c:v>
                </c:pt>
              </c:numCache>
            </c:numRef>
          </c:xVal>
          <c:yVal>
            <c:numRef>
              <c:f>'Cell Counts - PARAGON I'!$F$9:$F$14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3-2947-A54B-41FFCF993787}"/>
            </c:ext>
          </c:extLst>
        </c:ser>
        <c:ser>
          <c:idx val="1"/>
          <c:order val="1"/>
          <c:tx>
            <c:strRef>
              <c:f>'Cell Counts - PARAGON I'!$A$36</c:f>
              <c:strCache>
                <c:ptCount val="1"/>
                <c:pt idx="0">
                  <c:v>S2C24</c:v>
                </c:pt>
              </c:strCache>
            </c:strRef>
          </c:tx>
          <c:spPr>
            <a:ln w="47625">
              <a:noFill/>
            </a:ln>
          </c:spPr>
          <c:xVal>
            <c:numRef>
              <c:f>'Cell Counts - PARAGON I'!$S$15:$S$20</c:f>
              <c:numCache>
                <c:formatCode>0</c:formatCode>
                <c:ptCount val="6"/>
                <c:pt idx="0">
                  <c:v>306995.42735956254</c:v>
                </c:pt>
                <c:pt idx="1">
                  <c:v>380393.57235490298</c:v>
                </c:pt>
                <c:pt idx="2">
                  <c:v>477442.91904133529</c:v>
                </c:pt>
                <c:pt idx="3">
                  <c:v>638698.8847709595</c:v>
                </c:pt>
                <c:pt idx="4">
                  <c:v>639819.54161805264</c:v>
                </c:pt>
                <c:pt idx="5">
                  <c:v>616447.51565254759</c:v>
                </c:pt>
              </c:numCache>
            </c:numRef>
          </c:xVal>
          <c:yVal>
            <c:numRef>
              <c:f>'Cell Counts - PARAGON I'!$F$15:$F$20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43-2947-A54B-41FFCF993787}"/>
            </c:ext>
          </c:extLst>
        </c:ser>
        <c:ser>
          <c:idx val="2"/>
          <c:order val="2"/>
          <c:tx>
            <c:strRef>
              <c:f>'Cell Counts - PARAGON I'!$A$37</c:f>
              <c:strCache>
                <c:ptCount val="1"/>
                <c:pt idx="0">
                  <c:v>S2C38</c:v>
                </c:pt>
              </c:strCache>
            </c:strRef>
          </c:tx>
          <c:spPr>
            <a:ln w="47625">
              <a:noFill/>
            </a:ln>
          </c:spPr>
          <c:xVal>
            <c:numRef>
              <c:f>'Cell Counts - PARAGON I'!$S$21:$S$26</c:f>
              <c:numCache>
                <c:formatCode>0</c:formatCode>
                <c:ptCount val="6"/>
                <c:pt idx="0">
                  <c:v>376470.35445690609</c:v>
                </c:pt>
                <c:pt idx="1">
                  <c:v>404130.05938985769</c:v>
                </c:pt>
                <c:pt idx="2">
                  <c:v>480700.56298678252</c:v>
                </c:pt>
                <c:pt idx="3">
                  <c:v>610280.22679260885</c:v>
                </c:pt>
                <c:pt idx="4">
                  <c:v>618040.34266736731</c:v>
                </c:pt>
                <c:pt idx="5">
                  <c:v>592143.36320588179</c:v>
                </c:pt>
              </c:numCache>
            </c:numRef>
          </c:xVal>
          <c:yVal>
            <c:numRef>
              <c:f>'Cell Counts - PARAGON I'!$F$21:$F$26</c:f>
              <c:numCache>
                <c:formatCode>General</c:formatCode>
                <c:ptCount val="6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43-2947-A54B-41FFCF993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5258824"/>
        <c:axId val="-2095923912"/>
      </c:scatterChart>
      <c:valAx>
        <c:axId val="-2095258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cells/ml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2095923912"/>
        <c:crosses val="max"/>
        <c:crossBetween val="midCat"/>
      </c:valAx>
      <c:valAx>
        <c:axId val="-2095923912"/>
        <c:scaling>
          <c:orientation val="maxMin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depth</a:t>
                </a:r>
                <a:r>
                  <a:rPr lang="en-US" sz="1400" baseline="0"/>
                  <a:t> (m)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2095258824"/>
        <c:crosses val="autoZero"/>
        <c:crossBetween val="midCat"/>
        <c:majorUnit val="25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28</xdr:row>
      <xdr:rowOff>12700</xdr:rowOff>
    </xdr:from>
    <xdr:to>
      <xdr:col>7</xdr:col>
      <xdr:colOff>723900</xdr:colOff>
      <xdr:row>49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292510-1ADF-D44F-99B4-5A90974DA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28</xdr:row>
      <xdr:rowOff>0</xdr:rowOff>
    </xdr:from>
    <xdr:to>
      <xdr:col>12</xdr:col>
      <xdr:colOff>774700</xdr:colOff>
      <xdr:row>49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BC0EAD-29CD-654A-A187-BCFBD6DFB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</xdr:colOff>
      <xdr:row>28</xdr:row>
      <xdr:rowOff>12700</xdr:rowOff>
    </xdr:from>
    <xdr:to>
      <xdr:col>17</xdr:col>
      <xdr:colOff>698500</xdr:colOff>
      <xdr:row>49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CCBE7A-D545-8846-B1DB-A8FC350BD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12700</xdr:colOff>
      <xdr:row>28</xdr:row>
      <xdr:rowOff>12700</xdr:rowOff>
    </xdr:from>
    <xdr:to>
      <xdr:col>23</xdr:col>
      <xdr:colOff>38100</xdr:colOff>
      <xdr:row>49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A16B2A-B29C-654F-8A67-10E12A6D5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6F91-ED1B-2040-BC38-45643AAF4D38}">
  <dimension ref="A1:AE82"/>
  <sheetViews>
    <sheetView tabSelected="1" zoomScaleNormal="100" zoomScalePageLayoutView="75" workbookViewId="0">
      <pane xSplit="1" topLeftCell="B1" activePane="topRight" state="frozen"/>
      <selection pane="topRight" activeCell="C15" sqref="C15"/>
    </sheetView>
  </sheetViews>
  <sheetFormatPr baseColWidth="10" defaultColWidth="11" defaultRowHeight="16" x14ac:dyDescent="0.2"/>
  <cols>
    <col min="1" max="1" width="18" style="335" customWidth="1"/>
    <col min="2" max="2" width="11.1640625" style="335" customWidth="1"/>
    <col min="3" max="3" width="12.6640625" style="335" customWidth="1"/>
    <col min="4" max="4" width="5.5" style="335" customWidth="1"/>
    <col min="5" max="5" width="7.33203125" style="335" customWidth="1"/>
    <col min="6" max="6" width="11" style="335"/>
    <col min="7" max="7" width="11.83203125" style="335" bestFit="1" customWidth="1"/>
    <col min="8" max="12" width="11.83203125" style="335" customWidth="1"/>
    <col min="13" max="13" width="13" style="335" customWidth="1"/>
    <col min="14" max="14" width="15.33203125" style="335" customWidth="1"/>
    <col min="15" max="17" width="11" style="335"/>
    <col min="18" max="18" width="11.83203125" style="335" customWidth="1"/>
    <col min="19" max="19" width="18.1640625" style="335" customWidth="1"/>
    <col min="20" max="21" width="11" style="338"/>
    <col min="22" max="22" width="14.33203125" style="338" customWidth="1"/>
    <col min="23" max="24" width="11" style="338"/>
    <col min="25" max="25" width="13.33203125" style="338" customWidth="1"/>
    <col min="26" max="27" width="11" style="338"/>
    <col min="28" max="28" width="12" style="338" customWidth="1"/>
    <col min="29" max="29" width="36.83203125" style="338" customWidth="1"/>
    <col min="30" max="30" width="35.6640625" style="338" customWidth="1"/>
    <col min="31" max="16384" width="11" style="338"/>
  </cols>
  <sheetData>
    <row r="1" spans="1:31" x14ac:dyDescent="0.2">
      <c r="A1" s="333" t="s">
        <v>427</v>
      </c>
      <c r="B1" s="333" t="s">
        <v>428</v>
      </c>
      <c r="C1" s="333" t="s">
        <v>429</v>
      </c>
      <c r="D1" s="333"/>
      <c r="E1" s="333"/>
      <c r="F1" s="333"/>
      <c r="G1" s="334" t="s">
        <v>430</v>
      </c>
      <c r="H1" s="333" t="s">
        <v>431</v>
      </c>
      <c r="I1" s="333" t="s">
        <v>432</v>
      </c>
      <c r="J1" s="333" t="s">
        <v>433</v>
      </c>
      <c r="K1" s="333" t="s">
        <v>434</v>
      </c>
      <c r="N1" s="333" t="s">
        <v>435</v>
      </c>
      <c r="O1" s="333"/>
      <c r="Q1" s="336"/>
      <c r="S1" s="337" t="s">
        <v>437</v>
      </c>
    </row>
    <row r="2" spans="1:31" x14ac:dyDescent="0.2">
      <c r="A2" s="339" t="s">
        <v>438</v>
      </c>
      <c r="B2" s="333" t="s">
        <v>192</v>
      </c>
      <c r="C2" s="333" t="s">
        <v>5</v>
      </c>
      <c r="D2" s="333"/>
      <c r="E2" s="333"/>
      <c r="F2" s="340"/>
      <c r="H2" s="333" t="s">
        <v>439</v>
      </c>
      <c r="I2" s="333" t="s">
        <v>439</v>
      </c>
      <c r="J2" s="333" t="s">
        <v>439</v>
      </c>
      <c r="M2" s="333"/>
      <c r="N2" s="335">
        <v>0</v>
      </c>
      <c r="S2" s="341" t="s">
        <v>511</v>
      </c>
    </row>
    <row r="3" spans="1:31" x14ac:dyDescent="0.2">
      <c r="D3" s="333"/>
      <c r="G3" s="335" t="s">
        <v>440</v>
      </c>
      <c r="H3" s="335">
        <v>15</v>
      </c>
      <c r="I3" s="335">
        <v>2</v>
      </c>
      <c r="J3" s="335">
        <v>0</v>
      </c>
      <c r="K3" s="335">
        <f>1+(I3+H3+J3)/1000</f>
        <v>1.0169999999999999</v>
      </c>
      <c r="M3" s="333"/>
      <c r="O3" s="333"/>
      <c r="S3" s="337" t="s">
        <v>441</v>
      </c>
    </row>
    <row r="4" spans="1:31" x14ac:dyDescent="0.2">
      <c r="A4" s="334" t="s">
        <v>442</v>
      </c>
      <c r="G4" s="335" t="s">
        <v>443</v>
      </c>
      <c r="H4" s="335">
        <v>15</v>
      </c>
      <c r="I4" s="335">
        <v>0</v>
      </c>
      <c r="J4" s="335">
        <v>5</v>
      </c>
      <c r="K4" s="335">
        <f>1+(I4+H4+J4)/1000</f>
        <v>1.02</v>
      </c>
      <c r="M4" s="333"/>
      <c r="O4" s="333"/>
      <c r="S4" s="338" t="s">
        <v>512</v>
      </c>
    </row>
    <row r="6" spans="1:31" x14ac:dyDescent="0.2">
      <c r="A6" s="333" t="s">
        <v>444</v>
      </c>
      <c r="G6" s="342"/>
      <c r="H6" s="334" t="s">
        <v>445</v>
      </c>
      <c r="I6" s="342"/>
      <c r="J6" s="334" t="s">
        <v>446</v>
      </c>
      <c r="K6" s="342"/>
      <c r="L6" s="333" t="s">
        <v>0</v>
      </c>
      <c r="M6" s="342"/>
      <c r="N6" s="333" t="s">
        <v>1</v>
      </c>
      <c r="O6" s="342"/>
      <c r="P6" s="333" t="s">
        <v>436</v>
      </c>
      <c r="Q6" s="342"/>
      <c r="R6" s="333" t="s">
        <v>4</v>
      </c>
      <c r="S6" s="333" t="s">
        <v>2</v>
      </c>
      <c r="T6" s="344"/>
      <c r="U6" s="345" t="s">
        <v>7</v>
      </c>
      <c r="V6" s="343"/>
      <c r="W6" s="345"/>
      <c r="X6" s="345" t="s">
        <v>8</v>
      </c>
      <c r="Y6" s="342"/>
      <c r="Z6" s="346"/>
      <c r="AA6" s="347" t="s">
        <v>436</v>
      </c>
      <c r="AB6" s="348"/>
      <c r="AC6" s="349" t="s">
        <v>60</v>
      </c>
      <c r="AD6" s="350"/>
    </row>
    <row r="7" spans="1:31" x14ac:dyDescent="0.2">
      <c r="A7" s="351" t="s">
        <v>488</v>
      </c>
      <c r="B7" s="351" t="s">
        <v>447</v>
      </c>
      <c r="C7" s="351" t="s">
        <v>448</v>
      </c>
      <c r="D7" s="351" t="s">
        <v>449</v>
      </c>
      <c r="E7" s="351" t="s">
        <v>450</v>
      </c>
      <c r="F7" s="351" t="s">
        <v>451</v>
      </c>
      <c r="G7" s="352" t="s">
        <v>487</v>
      </c>
      <c r="H7" s="351" t="s">
        <v>452</v>
      </c>
      <c r="I7" s="352" t="s">
        <v>453</v>
      </c>
      <c r="J7" s="351" t="s">
        <v>452</v>
      </c>
      <c r="K7" s="352" t="s">
        <v>453</v>
      </c>
      <c r="L7" s="351" t="s">
        <v>454</v>
      </c>
      <c r="M7" s="352" t="s">
        <v>455</v>
      </c>
      <c r="N7" s="351" t="s">
        <v>454</v>
      </c>
      <c r="O7" s="352" t="s">
        <v>455</v>
      </c>
      <c r="P7" s="351" t="s">
        <v>489</v>
      </c>
      <c r="Q7" s="352" t="s">
        <v>455</v>
      </c>
      <c r="R7" s="351" t="s">
        <v>454</v>
      </c>
      <c r="S7" s="352" t="s">
        <v>455</v>
      </c>
      <c r="T7" s="333" t="s">
        <v>456</v>
      </c>
      <c r="U7" s="333" t="s">
        <v>457</v>
      </c>
      <c r="V7" s="352" t="s">
        <v>458</v>
      </c>
      <c r="W7" s="333" t="s">
        <v>456</v>
      </c>
      <c r="X7" s="333" t="s">
        <v>457</v>
      </c>
      <c r="Y7" s="352" t="s">
        <v>458</v>
      </c>
      <c r="Z7" s="333" t="s">
        <v>490</v>
      </c>
      <c r="AA7" s="333" t="s">
        <v>491</v>
      </c>
      <c r="AB7" s="333" t="s">
        <v>459</v>
      </c>
      <c r="AC7" s="353"/>
      <c r="AD7" s="354"/>
      <c r="AE7" s="333"/>
    </row>
    <row r="8" spans="1:31" x14ac:dyDescent="0.2">
      <c r="A8" s="333" t="s">
        <v>460</v>
      </c>
      <c r="B8" s="333" t="s">
        <v>460</v>
      </c>
      <c r="C8" s="333" t="s">
        <v>460</v>
      </c>
      <c r="D8" s="333" t="s">
        <v>460</v>
      </c>
      <c r="E8" s="333"/>
      <c r="F8" s="333" t="s">
        <v>461</v>
      </c>
      <c r="G8" s="355"/>
      <c r="H8" s="333" t="s">
        <v>3</v>
      </c>
      <c r="I8" s="355" t="s">
        <v>3</v>
      </c>
      <c r="J8" s="333" t="s">
        <v>3</v>
      </c>
      <c r="K8" s="355" t="s">
        <v>3</v>
      </c>
      <c r="L8" s="333" t="s">
        <v>462</v>
      </c>
      <c r="M8" s="355" t="s">
        <v>463</v>
      </c>
      <c r="N8" s="333" t="s">
        <v>462</v>
      </c>
      <c r="O8" s="355" t="s">
        <v>463</v>
      </c>
      <c r="P8" s="333" t="s">
        <v>462</v>
      </c>
      <c r="Q8" s="355" t="s">
        <v>463</v>
      </c>
      <c r="R8" s="333" t="s">
        <v>462</v>
      </c>
      <c r="S8" s="355" t="s">
        <v>463</v>
      </c>
      <c r="T8" s="333" t="s">
        <v>464</v>
      </c>
      <c r="U8" s="333" t="s">
        <v>464</v>
      </c>
      <c r="V8" s="355" t="s">
        <v>465</v>
      </c>
      <c r="W8" s="333" t="s">
        <v>464</v>
      </c>
      <c r="X8" s="333" t="s">
        <v>464</v>
      </c>
      <c r="Y8" s="355" t="s">
        <v>465</v>
      </c>
      <c r="Z8" s="357" t="s">
        <v>462</v>
      </c>
      <c r="AA8" s="357" t="s">
        <v>462</v>
      </c>
      <c r="AB8" s="333" t="s">
        <v>462</v>
      </c>
      <c r="AC8" s="358" t="s">
        <v>466</v>
      </c>
      <c r="AD8" s="359" t="s">
        <v>467</v>
      </c>
      <c r="AE8" s="333"/>
    </row>
    <row r="9" spans="1:31" x14ac:dyDescent="0.2">
      <c r="A9" s="363" t="s">
        <v>192</v>
      </c>
      <c r="B9" s="335">
        <v>2</v>
      </c>
      <c r="C9" s="335">
        <v>8</v>
      </c>
      <c r="D9" s="360">
        <v>1</v>
      </c>
      <c r="F9" s="335">
        <v>125</v>
      </c>
      <c r="G9" s="361"/>
      <c r="H9" s="375">
        <v>99.576999999999998</v>
      </c>
      <c r="I9" s="356">
        <f t="shared" ref="I9:I26" si="0">H9/$K$3</f>
        <v>97.912487708947893</v>
      </c>
      <c r="J9" s="362">
        <v>49.901499999999999</v>
      </c>
      <c r="K9" s="356">
        <f t="shared" ref="K9:K26" si="1">J9/$K$4</f>
        <v>48.923039215686273</v>
      </c>
      <c r="L9" s="15">
        <v>4616</v>
      </c>
      <c r="M9" s="377">
        <f>IF(L9&lt;$N$2,NA(),L9/I9*1000)</f>
        <v>47144.139710977433</v>
      </c>
      <c r="N9" s="15">
        <v>4</v>
      </c>
      <c r="O9" s="364">
        <f>IF(N9&lt;$N$2,NA(),N9/I9*1000)</f>
        <v>40.852807375197081</v>
      </c>
      <c r="P9" s="365">
        <f>AB9</f>
        <v>144</v>
      </c>
      <c r="Q9" s="364">
        <f>IF(P9&lt;$N$2,NA(),P9/I9*1000)</f>
        <v>1470.7010655070949</v>
      </c>
      <c r="R9" s="366">
        <v>16799</v>
      </c>
      <c r="S9" s="364">
        <f>R9/K9*1000 - $M9</f>
        <v>296231.91110913816</v>
      </c>
      <c r="T9" s="366">
        <v>121</v>
      </c>
      <c r="U9" s="366">
        <v>4536</v>
      </c>
      <c r="V9" s="367">
        <f>T9/U9*100</f>
        <v>2.6675485008818343</v>
      </c>
      <c r="W9" s="366">
        <v>235</v>
      </c>
      <c r="X9" s="366">
        <v>4518</v>
      </c>
      <c r="Y9" s="367">
        <f>W9/X9*100</f>
        <v>5.2014165559982288</v>
      </c>
      <c r="Z9" s="363">
        <v>110</v>
      </c>
      <c r="AA9" s="363">
        <v>34</v>
      </c>
      <c r="AB9" s="365">
        <f>SUM(Z9:AA9)</f>
        <v>144</v>
      </c>
      <c r="AC9" s="383" t="s">
        <v>272</v>
      </c>
      <c r="AD9" s="380" t="s">
        <v>379</v>
      </c>
    </row>
    <row r="10" spans="1:31" x14ac:dyDescent="0.2">
      <c r="A10" s="363" t="s">
        <v>192</v>
      </c>
      <c r="B10" s="335">
        <v>2</v>
      </c>
      <c r="C10" s="335">
        <v>8</v>
      </c>
      <c r="D10" s="360">
        <v>4</v>
      </c>
      <c r="F10" s="335">
        <v>100</v>
      </c>
      <c r="G10" s="361"/>
      <c r="H10" s="375">
        <v>104.331</v>
      </c>
      <c r="I10" s="356">
        <f t="shared" si="0"/>
        <v>102.58702064896757</v>
      </c>
      <c r="J10" s="362">
        <v>50.524500000000003</v>
      </c>
      <c r="K10" s="356">
        <f t="shared" si="1"/>
        <v>49.533823529411769</v>
      </c>
      <c r="L10" s="15">
        <v>13129</v>
      </c>
      <c r="M10" s="377">
        <f t="shared" ref="M10:M26" si="2">IF(L10&lt;$N$2,NA(),L10/I10*1000)</f>
        <v>127979.15288840323</v>
      </c>
      <c r="N10" s="15">
        <v>103</v>
      </c>
      <c r="O10" s="364">
        <f t="shared" ref="O10:O26" si="3">IF(N10&lt;$N$2,NA(),N10/I10*1000)</f>
        <v>1004.025649135923</v>
      </c>
      <c r="P10" s="365">
        <f t="shared" ref="P10:P26" si="4">AB10</f>
        <v>108</v>
      </c>
      <c r="Q10" s="364">
        <f t="shared" ref="Q10:Q26" si="5">IF(P10&lt;$N$2,NA(),P10/I10*1000)</f>
        <v>1052.7647583172786</v>
      </c>
      <c r="R10" s="366">
        <v>25285</v>
      </c>
      <c r="S10" s="364">
        <f t="shared" ref="S10:S26" si="6">R10/K10*1000 - $M10</f>
        <v>382480.12924204831</v>
      </c>
      <c r="T10" s="366">
        <v>30.9</v>
      </c>
      <c r="U10" s="366">
        <v>4493</v>
      </c>
      <c r="V10" s="367">
        <f t="shared" ref="V10:V26" si="7">T10/U10*100</f>
        <v>0.68773647896728241</v>
      </c>
      <c r="W10" s="366">
        <v>67.5</v>
      </c>
      <c r="X10" s="366">
        <v>4501</v>
      </c>
      <c r="Y10" s="367">
        <f t="shared" ref="Y10:Y26" si="8">W10/X10*100</f>
        <v>1.4996667407242834</v>
      </c>
      <c r="Z10" s="363">
        <v>83</v>
      </c>
      <c r="AA10" s="363">
        <v>25</v>
      </c>
      <c r="AB10" s="365">
        <f t="shared" ref="AB10:AB26" si="9">SUM(Z10:AA10)</f>
        <v>108</v>
      </c>
      <c r="AC10" s="384" t="s">
        <v>267</v>
      </c>
      <c r="AD10" s="381" t="s">
        <v>372</v>
      </c>
    </row>
    <row r="11" spans="1:31" x14ac:dyDescent="0.2">
      <c r="A11" s="363" t="s">
        <v>192</v>
      </c>
      <c r="B11" s="335">
        <v>2</v>
      </c>
      <c r="C11" s="335">
        <v>8</v>
      </c>
      <c r="D11" s="360">
        <v>7</v>
      </c>
      <c r="F11" s="335">
        <v>75</v>
      </c>
      <c r="G11" s="361"/>
      <c r="H11" s="375">
        <v>100.53749999999999</v>
      </c>
      <c r="I11" s="356">
        <f t="shared" si="0"/>
        <v>98.856932153392336</v>
      </c>
      <c r="J11" s="362">
        <v>51.958500000000001</v>
      </c>
      <c r="K11" s="356">
        <f t="shared" si="1"/>
        <v>50.939705882352939</v>
      </c>
      <c r="L11" s="15">
        <v>20243</v>
      </c>
      <c r="M11" s="377">
        <f t="shared" si="2"/>
        <v>204770.66766132039</v>
      </c>
      <c r="N11" s="15">
        <v>150</v>
      </c>
      <c r="O11" s="364">
        <f t="shared" si="3"/>
        <v>1517.3442745244311</v>
      </c>
      <c r="P11" s="365">
        <f t="shared" si="4"/>
        <v>78</v>
      </c>
      <c r="Q11" s="364">
        <f t="shared" si="5"/>
        <v>789.01902275270425</v>
      </c>
      <c r="R11" s="366">
        <v>34456</v>
      </c>
      <c r="S11" s="364">
        <f t="shared" si="6"/>
        <v>471636.84987671475</v>
      </c>
      <c r="T11" s="366">
        <v>16.8</v>
      </c>
      <c r="U11" s="366">
        <v>4498</v>
      </c>
      <c r="V11" s="367">
        <f t="shared" si="7"/>
        <v>0.3734993330369053</v>
      </c>
      <c r="W11" s="366">
        <v>36.4</v>
      </c>
      <c r="X11" s="366">
        <v>4556</v>
      </c>
      <c r="Y11" s="367">
        <f t="shared" si="8"/>
        <v>0.79894644424934147</v>
      </c>
      <c r="Z11" s="363">
        <v>35</v>
      </c>
      <c r="AA11" s="363">
        <v>43</v>
      </c>
      <c r="AB11" s="365">
        <f t="shared" si="9"/>
        <v>78</v>
      </c>
      <c r="AC11" s="384" t="s">
        <v>263</v>
      </c>
      <c r="AD11" s="381" t="s">
        <v>358</v>
      </c>
    </row>
    <row r="12" spans="1:31" x14ac:dyDescent="0.2">
      <c r="A12" s="363" t="s">
        <v>192</v>
      </c>
      <c r="B12" s="335">
        <v>2</v>
      </c>
      <c r="C12" s="335">
        <v>8</v>
      </c>
      <c r="D12" s="360">
        <v>10</v>
      </c>
      <c r="F12" s="335">
        <v>45</v>
      </c>
      <c r="G12" s="361"/>
      <c r="H12" s="375">
        <v>100.7685</v>
      </c>
      <c r="I12" s="356">
        <f t="shared" si="0"/>
        <v>99.084070796460196</v>
      </c>
      <c r="J12" s="362">
        <v>55.352499999999999</v>
      </c>
      <c r="K12" s="356">
        <f t="shared" si="1"/>
        <v>54.267156862745097</v>
      </c>
      <c r="L12" s="15">
        <v>21348</v>
      </c>
      <c r="M12" s="377">
        <f t="shared" si="2"/>
        <v>215453.40061626397</v>
      </c>
      <c r="N12" s="15">
        <v>107</v>
      </c>
      <c r="O12" s="364">
        <f t="shared" si="3"/>
        <v>1079.8910373777517</v>
      </c>
      <c r="P12" s="365">
        <f t="shared" si="4"/>
        <v>104</v>
      </c>
      <c r="Q12" s="364">
        <f t="shared" si="5"/>
        <v>1049.613718572768</v>
      </c>
      <c r="R12" s="366">
        <v>45107</v>
      </c>
      <c r="S12" s="364">
        <f t="shared" si="6"/>
        <v>615749.16476018692</v>
      </c>
      <c r="T12" s="366">
        <v>10.3</v>
      </c>
      <c r="U12" s="366">
        <v>4525</v>
      </c>
      <c r="V12" s="367">
        <f t="shared" si="7"/>
        <v>0.22762430939226522</v>
      </c>
      <c r="W12" s="366">
        <v>14.5</v>
      </c>
      <c r="X12" s="366">
        <v>4563</v>
      </c>
      <c r="Y12" s="367">
        <f t="shared" si="8"/>
        <v>0.31777339469647159</v>
      </c>
      <c r="Z12" s="363">
        <v>43</v>
      </c>
      <c r="AA12" s="363">
        <v>61</v>
      </c>
      <c r="AB12" s="365">
        <f t="shared" si="9"/>
        <v>104</v>
      </c>
      <c r="AC12" s="384" t="s">
        <v>258</v>
      </c>
      <c r="AD12" s="381" t="s">
        <v>356</v>
      </c>
    </row>
    <row r="13" spans="1:31" x14ac:dyDescent="0.2">
      <c r="A13" s="363" t="s">
        <v>192</v>
      </c>
      <c r="B13" s="335">
        <v>2</v>
      </c>
      <c r="C13" s="335">
        <v>8</v>
      </c>
      <c r="D13" s="360">
        <v>13</v>
      </c>
      <c r="F13" s="335">
        <v>25</v>
      </c>
      <c r="G13" s="361"/>
      <c r="H13" s="375">
        <v>100.232</v>
      </c>
      <c r="I13" s="356">
        <f t="shared" si="0"/>
        <v>98.556538839724695</v>
      </c>
      <c r="J13" s="362">
        <v>51.851500000000001</v>
      </c>
      <c r="K13" s="356">
        <f t="shared" si="1"/>
        <v>50.834803921568628</v>
      </c>
      <c r="L13" s="15">
        <v>22170</v>
      </c>
      <c r="M13" s="377">
        <f t="shared" si="2"/>
        <v>224947.02290685606</v>
      </c>
      <c r="N13" s="15">
        <v>62</v>
      </c>
      <c r="O13" s="364">
        <f t="shared" si="3"/>
        <v>629.08053316306155</v>
      </c>
      <c r="P13" s="365">
        <f t="shared" si="4"/>
        <v>96</v>
      </c>
      <c r="Q13" s="364">
        <f t="shared" si="5"/>
        <v>974.06018038151478</v>
      </c>
      <c r="R13" s="366">
        <v>43398</v>
      </c>
      <c r="S13" s="364">
        <f t="shared" si="6"/>
        <v>628759.42724405567</v>
      </c>
      <c r="T13" s="366">
        <v>10.199999999999999</v>
      </c>
      <c r="U13" s="366">
        <v>4508</v>
      </c>
      <c r="V13" s="367">
        <f t="shared" si="7"/>
        <v>0.22626441881100265</v>
      </c>
      <c r="W13" s="366">
        <v>11.1</v>
      </c>
      <c r="X13" s="366">
        <v>4536</v>
      </c>
      <c r="Y13" s="367">
        <f t="shared" si="8"/>
        <v>0.24470899470899471</v>
      </c>
      <c r="Z13" s="363">
        <v>46</v>
      </c>
      <c r="AA13" s="363">
        <v>50</v>
      </c>
      <c r="AB13" s="365">
        <f t="shared" si="9"/>
        <v>96</v>
      </c>
      <c r="AC13" s="384" t="s">
        <v>253</v>
      </c>
      <c r="AD13" s="381" t="s">
        <v>354</v>
      </c>
    </row>
    <row r="14" spans="1:31" x14ac:dyDescent="0.2">
      <c r="A14" s="363" t="s">
        <v>192</v>
      </c>
      <c r="B14" s="335">
        <v>2</v>
      </c>
      <c r="C14" s="335">
        <v>8</v>
      </c>
      <c r="D14" s="360">
        <v>16</v>
      </c>
      <c r="F14" s="335">
        <v>5</v>
      </c>
      <c r="G14" s="361"/>
      <c r="H14" s="375">
        <v>109.64700000000001</v>
      </c>
      <c r="I14" s="356">
        <f t="shared" si="0"/>
        <v>107.81415929203541</v>
      </c>
      <c r="J14" s="362">
        <v>51.521000000000001</v>
      </c>
      <c r="K14" s="356">
        <f t="shared" si="1"/>
        <v>50.510784313725487</v>
      </c>
      <c r="L14" s="15">
        <v>24388</v>
      </c>
      <c r="M14" s="377">
        <f t="shared" si="2"/>
        <v>226204.0548305015</v>
      </c>
      <c r="N14" s="15">
        <v>47</v>
      </c>
      <c r="O14" s="364">
        <f t="shared" si="3"/>
        <v>435.93531970778946</v>
      </c>
      <c r="P14" s="365">
        <f t="shared" si="4"/>
        <v>93</v>
      </c>
      <c r="Q14" s="364">
        <f t="shared" si="5"/>
        <v>862.59541984732812</v>
      </c>
      <c r="R14" s="366">
        <v>43867</v>
      </c>
      <c r="S14" s="364">
        <f t="shared" si="6"/>
        <v>642263.94850794296</v>
      </c>
      <c r="T14" s="366">
        <v>10.4</v>
      </c>
      <c r="U14" s="366">
        <v>4273</v>
      </c>
      <c r="V14" s="367">
        <f t="shared" si="7"/>
        <v>0.24338871986894456</v>
      </c>
      <c r="W14" s="366">
        <v>10.7</v>
      </c>
      <c r="X14" s="366">
        <v>4452</v>
      </c>
      <c r="Y14" s="367">
        <f t="shared" si="8"/>
        <v>0.24034141958670258</v>
      </c>
      <c r="Z14" s="363">
        <v>46</v>
      </c>
      <c r="AA14" s="363">
        <v>47</v>
      </c>
      <c r="AB14" s="365">
        <f t="shared" si="9"/>
        <v>93</v>
      </c>
      <c r="AC14" s="384" t="s">
        <v>500</v>
      </c>
      <c r="AD14" s="381" t="s">
        <v>352</v>
      </c>
    </row>
    <row r="15" spans="1:31" x14ac:dyDescent="0.2">
      <c r="A15" s="363" t="s">
        <v>192</v>
      </c>
      <c r="B15" s="335">
        <v>2</v>
      </c>
      <c r="C15" s="335">
        <v>24</v>
      </c>
      <c r="D15" s="360">
        <v>1</v>
      </c>
      <c r="F15" s="335">
        <v>125</v>
      </c>
      <c r="G15" s="361"/>
      <c r="H15" s="375">
        <v>100.072</v>
      </c>
      <c r="I15" s="356">
        <f t="shared" si="0"/>
        <v>98.399213372664718</v>
      </c>
      <c r="J15" s="362">
        <v>50.667999999999999</v>
      </c>
      <c r="K15" s="356">
        <f t="shared" si="1"/>
        <v>49.674509803921566</v>
      </c>
      <c r="L15" s="15">
        <v>3554</v>
      </c>
      <c r="M15" s="377">
        <f t="shared" si="2"/>
        <v>36118.17491406187</v>
      </c>
      <c r="N15" s="15">
        <v>0</v>
      </c>
      <c r="O15" s="364">
        <f t="shared" si="3"/>
        <v>0</v>
      </c>
      <c r="P15" s="365">
        <f t="shared" si="4"/>
        <v>196</v>
      </c>
      <c r="Q15" s="364">
        <f t="shared" si="5"/>
        <v>1991.8858421936202</v>
      </c>
      <c r="R15" s="366">
        <v>17044</v>
      </c>
      <c r="S15" s="364">
        <f t="shared" si="6"/>
        <v>306995.42735956254</v>
      </c>
      <c r="T15" s="366">
        <v>152</v>
      </c>
      <c r="U15" s="366">
        <v>4474</v>
      </c>
      <c r="V15" s="367">
        <f t="shared" si="7"/>
        <v>3.3974072418417522</v>
      </c>
      <c r="W15" s="366">
        <v>294</v>
      </c>
      <c r="X15" s="366">
        <v>4518</v>
      </c>
      <c r="Y15" s="367">
        <f t="shared" si="8"/>
        <v>6.5073041168658694</v>
      </c>
      <c r="Z15" s="363">
        <v>107</v>
      </c>
      <c r="AA15" s="363">
        <v>89</v>
      </c>
      <c r="AB15" s="365">
        <f t="shared" si="9"/>
        <v>196</v>
      </c>
      <c r="AC15" s="384" t="s">
        <v>298</v>
      </c>
      <c r="AD15" s="381" t="s">
        <v>381</v>
      </c>
    </row>
    <row r="16" spans="1:31" x14ac:dyDescent="0.2">
      <c r="A16" s="363" t="s">
        <v>192</v>
      </c>
      <c r="B16" s="335">
        <v>2</v>
      </c>
      <c r="C16" s="335">
        <v>24</v>
      </c>
      <c r="D16" s="360">
        <v>4</v>
      </c>
      <c r="F16" s="335">
        <v>100</v>
      </c>
      <c r="G16" s="361"/>
      <c r="H16" s="375">
        <v>101.09399999999999</v>
      </c>
      <c r="I16" s="356">
        <f t="shared" si="0"/>
        <v>99.404129793510322</v>
      </c>
      <c r="J16" s="362">
        <v>51.335999999999999</v>
      </c>
      <c r="K16" s="356">
        <f t="shared" si="1"/>
        <v>50.329411764705881</v>
      </c>
      <c r="L16" s="15">
        <v>10381</v>
      </c>
      <c r="M16" s="377">
        <f t="shared" si="2"/>
        <v>104432.28084752805</v>
      </c>
      <c r="N16" s="15">
        <v>43</v>
      </c>
      <c r="O16" s="364">
        <f t="shared" si="3"/>
        <v>432.57760104457236</v>
      </c>
      <c r="P16" s="365">
        <f t="shared" si="4"/>
        <v>120</v>
      </c>
      <c r="Q16" s="364">
        <f t="shared" si="5"/>
        <v>1207.1933052406671</v>
      </c>
      <c r="R16" s="366">
        <v>24401</v>
      </c>
      <c r="S16" s="364">
        <f t="shared" si="6"/>
        <v>380393.57235490298</v>
      </c>
      <c r="T16" s="366">
        <v>40.9</v>
      </c>
      <c r="U16" s="366">
        <v>4472</v>
      </c>
      <c r="V16" s="367">
        <f t="shared" si="7"/>
        <v>0.91457960644007152</v>
      </c>
      <c r="W16" s="366">
        <v>93.9</v>
      </c>
      <c r="X16" s="366">
        <v>4537</v>
      </c>
      <c r="Y16" s="367">
        <f t="shared" si="8"/>
        <v>2.0696495481595769</v>
      </c>
      <c r="Z16" s="363">
        <v>42</v>
      </c>
      <c r="AA16" s="363">
        <v>78</v>
      </c>
      <c r="AB16" s="365">
        <f t="shared" si="9"/>
        <v>120</v>
      </c>
      <c r="AC16" s="384" t="s">
        <v>293</v>
      </c>
      <c r="AD16" s="381" t="s">
        <v>374</v>
      </c>
    </row>
    <row r="17" spans="1:30" x14ac:dyDescent="0.2">
      <c r="A17" s="363" t="s">
        <v>192</v>
      </c>
      <c r="B17" s="335">
        <v>2</v>
      </c>
      <c r="C17" s="335">
        <v>24</v>
      </c>
      <c r="D17" s="360">
        <v>7</v>
      </c>
      <c r="F17" s="335">
        <v>75</v>
      </c>
      <c r="G17" s="361"/>
      <c r="H17" s="375">
        <v>101.6485</v>
      </c>
      <c r="I17" s="356">
        <f t="shared" si="0"/>
        <v>99.949360865290075</v>
      </c>
      <c r="J17" s="362">
        <v>49.654499999999999</v>
      </c>
      <c r="K17" s="356">
        <f t="shared" si="1"/>
        <v>48.680882352941175</v>
      </c>
      <c r="L17" s="15">
        <v>26331</v>
      </c>
      <c r="M17" s="377">
        <f t="shared" si="2"/>
        <v>263443.40546097577</v>
      </c>
      <c r="N17" s="15">
        <v>157</v>
      </c>
      <c r="O17" s="364">
        <f t="shared" si="3"/>
        <v>1570.79543721747</v>
      </c>
      <c r="P17" s="365">
        <f t="shared" si="4"/>
        <v>80</v>
      </c>
      <c r="Q17" s="364">
        <f t="shared" si="5"/>
        <v>800.40531832737315</v>
      </c>
      <c r="R17" s="366">
        <v>36067</v>
      </c>
      <c r="S17" s="364">
        <f t="shared" si="6"/>
        <v>477442.91904133529</v>
      </c>
      <c r="T17" s="366">
        <v>13.2</v>
      </c>
      <c r="U17" s="366">
        <v>4444</v>
      </c>
      <c r="V17" s="367">
        <f t="shared" si="7"/>
        <v>0.29702970297029702</v>
      </c>
      <c r="W17" s="366">
        <v>29.5</v>
      </c>
      <c r="X17" s="366">
        <v>4500</v>
      </c>
      <c r="Y17" s="367">
        <f t="shared" si="8"/>
        <v>0.65555555555555556</v>
      </c>
      <c r="Z17" s="363">
        <v>23</v>
      </c>
      <c r="AA17" s="363">
        <v>57</v>
      </c>
      <c r="AB17" s="365">
        <f t="shared" si="9"/>
        <v>80</v>
      </c>
      <c r="AC17" s="384" t="s">
        <v>287</v>
      </c>
      <c r="AD17" s="381" t="s">
        <v>366</v>
      </c>
    </row>
    <row r="18" spans="1:30" x14ac:dyDescent="0.2">
      <c r="A18" s="363" t="s">
        <v>192</v>
      </c>
      <c r="B18" s="335">
        <v>2</v>
      </c>
      <c r="C18" s="335">
        <v>24</v>
      </c>
      <c r="D18" s="360">
        <v>10</v>
      </c>
      <c r="F18" s="335">
        <v>45</v>
      </c>
      <c r="G18" s="361"/>
      <c r="H18" s="375">
        <v>100.83799999999999</v>
      </c>
      <c r="I18" s="356">
        <f t="shared" si="0"/>
        <v>99.152409046214359</v>
      </c>
      <c r="J18" s="362">
        <v>50.398499999999999</v>
      </c>
      <c r="K18" s="356">
        <f t="shared" si="1"/>
        <v>49.410294117647055</v>
      </c>
      <c r="L18" s="15">
        <v>24383</v>
      </c>
      <c r="M18" s="377">
        <f t="shared" si="2"/>
        <v>245914.34776572321</v>
      </c>
      <c r="N18" s="15">
        <v>92</v>
      </c>
      <c r="O18" s="364">
        <f t="shared" si="3"/>
        <v>927.86449552747979</v>
      </c>
      <c r="P18" s="365">
        <f t="shared" si="4"/>
        <v>106</v>
      </c>
      <c r="Q18" s="364">
        <f t="shared" si="5"/>
        <v>1069.0612665860092</v>
      </c>
      <c r="R18" s="366">
        <v>43709</v>
      </c>
      <c r="S18" s="364">
        <f t="shared" si="6"/>
        <v>638698.8847709595</v>
      </c>
      <c r="T18" s="366">
        <v>10.4</v>
      </c>
      <c r="U18" s="366">
        <v>4521</v>
      </c>
      <c r="V18" s="367">
        <f t="shared" si="7"/>
        <v>0.23003760230037601</v>
      </c>
      <c r="W18" s="366">
        <v>10.7</v>
      </c>
      <c r="X18" s="366">
        <v>4518</v>
      </c>
      <c r="Y18" s="367">
        <f t="shared" si="8"/>
        <v>0.2368304559539619</v>
      </c>
      <c r="Z18" s="363">
        <v>31</v>
      </c>
      <c r="AA18" s="363">
        <v>75</v>
      </c>
      <c r="AB18" s="365">
        <f t="shared" si="9"/>
        <v>106</v>
      </c>
      <c r="AC18" s="384" t="s">
        <v>283</v>
      </c>
      <c r="AD18" s="381" t="s">
        <v>364</v>
      </c>
    </row>
    <row r="19" spans="1:30" x14ac:dyDescent="0.2">
      <c r="A19" s="363" t="s">
        <v>192</v>
      </c>
      <c r="B19" s="335">
        <v>2</v>
      </c>
      <c r="C19" s="335">
        <v>24</v>
      </c>
      <c r="D19" s="360">
        <v>13</v>
      </c>
      <c r="F19" s="335">
        <v>25</v>
      </c>
      <c r="G19" s="361"/>
      <c r="H19" s="375">
        <v>98.912000000000006</v>
      </c>
      <c r="I19" s="356">
        <f t="shared" si="0"/>
        <v>97.258603736479856</v>
      </c>
      <c r="J19" s="362">
        <v>50.017499999999998</v>
      </c>
      <c r="K19" s="356">
        <f t="shared" si="1"/>
        <v>49.036764705882348</v>
      </c>
      <c r="L19" s="15">
        <v>21320</v>
      </c>
      <c r="M19" s="377">
        <f t="shared" si="2"/>
        <v>219209.39825299254</v>
      </c>
      <c r="N19" s="15">
        <v>108</v>
      </c>
      <c r="O19" s="364">
        <f t="shared" si="3"/>
        <v>1110.4416046586864</v>
      </c>
      <c r="P19" s="365">
        <f t="shared" si="4"/>
        <v>108</v>
      </c>
      <c r="Q19" s="364">
        <f t="shared" si="5"/>
        <v>1110.4416046586864</v>
      </c>
      <c r="R19" s="366">
        <v>42124</v>
      </c>
      <c r="S19" s="364">
        <f t="shared" si="6"/>
        <v>639819.54161805264</v>
      </c>
      <c r="T19" s="366">
        <v>10.199999999999999</v>
      </c>
      <c r="U19" s="366">
        <v>4437</v>
      </c>
      <c r="V19" s="367">
        <f t="shared" si="7"/>
        <v>0.22988505747126436</v>
      </c>
      <c r="W19" s="366">
        <v>10.3</v>
      </c>
      <c r="X19" s="366">
        <v>4538</v>
      </c>
      <c r="Y19" s="367">
        <f t="shared" si="8"/>
        <v>0.22697223446452183</v>
      </c>
      <c r="Z19" s="363">
        <v>19</v>
      </c>
      <c r="AA19" s="363">
        <v>89</v>
      </c>
      <c r="AB19" s="365">
        <f t="shared" si="9"/>
        <v>108</v>
      </c>
      <c r="AC19" s="384" t="s">
        <v>281</v>
      </c>
      <c r="AD19" s="381" t="s">
        <v>362</v>
      </c>
    </row>
    <row r="20" spans="1:30" x14ac:dyDescent="0.2">
      <c r="A20" s="363" t="s">
        <v>192</v>
      </c>
      <c r="B20" s="335">
        <v>2</v>
      </c>
      <c r="C20" s="335">
        <v>24</v>
      </c>
      <c r="D20" s="360">
        <v>16</v>
      </c>
      <c r="F20" s="335">
        <v>5</v>
      </c>
      <c r="G20" s="361"/>
      <c r="H20" s="375">
        <v>101.7025</v>
      </c>
      <c r="I20" s="356">
        <f t="shared" si="0"/>
        <v>100.00245821042282</v>
      </c>
      <c r="J20" s="362">
        <v>53.657499999999999</v>
      </c>
      <c r="K20" s="356">
        <f t="shared" si="1"/>
        <v>52.605392156862742</v>
      </c>
      <c r="L20" s="15">
        <v>22754</v>
      </c>
      <c r="M20" s="377">
        <f t="shared" si="2"/>
        <v>227534.40672549838</v>
      </c>
      <c r="N20" s="15">
        <v>84</v>
      </c>
      <c r="O20" s="364">
        <f t="shared" si="3"/>
        <v>839.97935154003085</v>
      </c>
      <c r="P20" s="365">
        <f t="shared" si="4"/>
        <v>110</v>
      </c>
      <c r="Q20" s="364">
        <f t="shared" si="5"/>
        <v>1099.9729603500405</v>
      </c>
      <c r="R20" s="366">
        <v>44398</v>
      </c>
      <c r="S20" s="364">
        <f t="shared" si="6"/>
        <v>616447.51565254759</v>
      </c>
      <c r="T20" s="366">
        <v>10.4</v>
      </c>
      <c r="U20" s="366">
        <v>4496</v>
      </c>
      <c r="V20" s="367">
        <f t="shared" si="7"/>
        <v>0.23131672597864772</v>
      </c>
      <c r="W20" s="366">
        <v>9.6</v>
      </c>
      <c r="X20" s="366">
        <v>4494</v>
      </c>
      <c r="Y20" s="367">
        <f t="shared" si="8"/>
        <v>0.2136181575433912</v>
      </c>
      <c r="Z20" s="363">
        <v>32</v>
      </c>
      <c r="AA20" s="363">
        <v>78</v>
      </c>
      <c r="AB20" s="365">
        <f t="shared" si="9"/>
        <v>110</v>
      </c>
      <c r="AC20" s="384" t="s">
        <v>497</v>
      </c>
      <c r="AD20" s="381" t="s">
        <v>360</v>
      </c>
    </row>
    <row r="21" spans="1:30" x14ac:dyDescent="0.2">
      <c r="A21" s="363" t="s">
        <v>192</v>
      </c>
      <c r="B21" s="335">
        <v>2</v>
      </c>
      <c r="C21" s="335">
        <v>38</v>
      </c>
      <c r="D21" s="335">
        <v>1</v>
      </c>
      <c r="F21" s="335">
        <v>125</v>
      </c>
      <c r="G21" s="361"/>
      <c r="H21" s="375">
        <v>99.877499999999998</v>
      </c>
      <c r="I21" s="356">
        <f t="shared" si="0"/>
        <v>98.207964601769916</v>
      </c>
      <c r="J21" s="362">
        <v>49.997</v>
      </c>
      <c r="K21" s="356">
        <f t="shared" si="1"/>
        <v>49.016666666666666</v>
      </c>
      <c r="L21" s="15">
        <v>9360</v>
      </c>
      <c r="M21" s="377">
        <f t="shared" si="2"/>
        <v>95307.952241495819</v>
      </c>
      <c r="N21" s="15">
        <v>25</v>
      </c>
      <c r="O21" s="364">
        <f t="shared" si="3"/>
        <v>254.56183825185852</v>
      </c>
      <c r="P21" s="365">
        <f t="shared" si="4"/>
        <v>175</v>
      </c>
      <c r="Q21" s="364">
        <f t="shared" si="5"/>
        <v>1781.9328677630094</v>
      </c>
      <c r="R21" s="366">
        <v>23125</v>
      </c>
      <c r="S21" s="364">
        <f t="shared" si="6"/>
        <v>376470.35445690609</v>
      </c>
      <c r="T21" s="366">
        <v>39.1</v>
      </c>
      <c r="U21" s="366">
        <v>4472</v>
      </c>
      <c r="V21" s="367">
        <f t="shared" si="7"/>
        <v>0.87432915921288012</v>
      </c>
      <c r="W21" s="366">
        <v>96.6</v>
      </c>
      <c r="X21" s="366">
        <v>4529</v>
      </c>
      <c r="Y21" s="367">
        <f t="shared" si="8"/>
        <v>2.1329211746522412</v>
      </c>
      <c r="Z21" s="363">
        <v>24</v>
      </c>
      <c r="AA21" s="363">
        <v>151</v>
      </c>
      <c r="AB21" s="365">
        <f t="shared" si="9"/>
        <v>175</v>
      </c>
      <c r="AC21" s="384" t="s">
        <v>325</v>
      </c>
      <c r="AD21" s="381" t="s">
        <v>382</v>
      </c>
    </row>
    <row r="22" spans="1:30" x14ac:dyDescent="0.2">
      <c r="A22" s="363" t="s">
        <v>192</v>
      </c>
      <c r="B22" s="335">
        <v>2</v>
      </c>
      <c r="C22" s="335">
        <v>38</v>
      </c>
      <c r="D22" s="335">
        <v>4</v>
      </c>
      <c r="F22" s="335">
        <v>100</v>
      </c>
      <c r="G22" s="361"/>
      <c r="H22" s="375">
        <v>102.104</v>
      </c>
      <c r="I22" s="356">
        <f t="shared" si="0"/>
        <v>100.39724680432646</v>
      </c>
      <c r="J22" s="362">
        <v>51.270499999999998</v>
      </c>
      <c r="K22" s="356">
        <f t="shared" si="1"/>
        <v>50.265196078431373</v>
      </c>
      <c r="L22" s="15">
        <v>25371</v>
      </c>
      <c r="M22" s="377">
        <f t="shared" si="2"/>
        <v>252706.13296246962</v>
      </c>
      <c r="N22" s="15">
        <v>126</v>
      </c>
      <c r="O22" s="364">
        <f t="shared" si="3"/>
        <v>1255.0144950246806</v>
      </c>
      <c r="P22" s="365">
        <f t="shared" si="4"/>
        <v>129</v>
      </c>
      <c r="Q22" s="364">
        <f t="shared" si="5"/>
        <v>1284.8957925252682</v>
      </c>
      <c r="R22" s="366">
        <v>33016</v>
      </c>
      <c r="S22" s="364">
        <f t="shared" si="6"/>
        <v>404130.05938985769</v>
      </c>
      <c r="T22" s="366">
        <v>14.1</v>
      </c>
      <c r="U22" s="366">
        <v>4493</v>
      </c>
      <c r="V22" s="367">
        <f t="shared" si="7"/>
        <v>0.31382150011128424</v>
      </c>
      <c r="W22" s="366">
        <v>34.299999999999997</v>
      </c>
      <c r="X22" s="366">
        <v>4523</v>
      </c>
      <c r="Y22" s="367">
        <f t="shared" si="8"/>
        <v>0.75834623037806759</v>
      </c>
      <c r="Z22" s="363">
        <v>33</v>
      </c>
      <c r="AA22" s="363">
        <v>96</v>
      </c>
      <c r="AB22" s="365">
        <f t="shared" si="9"/>
        <v>129</v>
      </c>
      <c r="AC22" s="384" t="s">
        <v>320</v>
      </c>
      <c r="AD22" s="381" t="s">
        <v>376</v>
      </c>
    </row>
    <row r="23" spans="1:30" x14ac:dyDescent="0.2">
      <c r="A23" s="363" t="s">
        <v>192</v>
      </c>
      <c r="B23" s="335">
        <v>2</v>
      </c>
      <c r="C23" s="335">
        <v>38</v>
      </c>
      <c r="D23" s="335">
        <v>7</v>
      </c>
      <c r="F23" s="335">
        <v>75</v>
      </c>
      <c r="G23" s="361"/>
      <c r="H23" s="375">
        <v>100.8635</v>
      </c>
      <c r="I23" s="356">
        <f t="shared" si="0"/>
        <v>99.177482792527059</v>
      </c>
      <c r="J23" s="362">
        <v>51.078000000000003</v>
      </c>
      <c r="K23" s="356">
        <f t="shared" si="1"/>
        <v>50.076470588235296</v>
      </c>
      <c r="L23" s="15">
        <v>24953</v>
      </c>
      <c r="M23" s="377">
        <f t="shared" si="2"/>
        <v>251599.44875995771</v>
      </c>
      <c r="N23" s="15">
        <v>184</v>
      </c>
      <c r="O23" s="364">
        <f t="shared" si="3"/>
        <v>1855.2598313562385</v>
      </c>
      <c r="P23" s="368">
        <f t="shared" si="4"/>
        <v>105</v>
      </c>
      <c r="Q23" s="364">
        <f t="shared" si="5"/>
        <v>1058.708055936984</v>
      </c>
      <c r="R23" s="366">
        <v>36671</v>
      </c>
      <c r="S23" s="364">
        <f t="shared" si="6"/>
        <v>480700.56298678252</v>
      </c>
      <c r="T23" s="366">
        <v>10.7</v>
      </c>
      <c r="U23" s="366">
        <v>4464</v>
      </c>
      <c r="V23" s="367">
        <f t="shared" si="7"/>
        <v>0.23969534050179209</v>
      </c>
      <c r="W23" s="366">
        <v>17.8</v>
      </c>
      <c r="X23" s="366">
        <v>4525</v>
      </c>
      <c r="Y23" s="367">
        <f t="shared" si="8"/>
        <v>0.39337016574585637</v>
      </c>
      <c r="Z23" s="363">
        <v>18</v>
      </c>
      <c r="AA23" s="363">
        <v>87</v>
      </c>
      <c r="AB23" s="365">
        <f t="shared" si="9"/>
        <v>105</v>
      </c>
      <c r="AC23" s="384" t="s">
        <v>314</v>
      </c>
      <c r="AD23" s="381" t="s">
        <v>371</v>
      </c>
    </row>
    <row r="24" spans="1:30" x14ac:dyDescent="0.2">
      <c r="A24" s="363" t="s">
        <v>192</v>
      </c>
      <c r="B24" s="335">
        <v>2</v>
      </c>
      <c r="C24" s="335">
        <v>38</v>
      </c>
      <c r="D24" s="335">
        <v>11</v>
      </c>
      <c r="F24" s="335">
        <v>45</v>
      </c>
      <c r="G24" s="361"/>
      <c r="H24" s="375">
        <v>133.626</v>
      </c>
      <c r="I24" s="356">
        <f t="shared" si="0"/>
        <v>131.39233038348084</v>
      </c>
      <c r="J24" s="362">
        <v>51.358999999999995</v>
      </c>
      <c r="K24" s="356">
        <f t="shared" si="1"/>
        <v>50.351960784313718</v>
      </c>
      <c r="L24" s="15">
        <v>33120</v>
      </c>
      <c r="M24" s="377">
        <f t="shared" si="2"/>
        <v>252069.50743118854</v>
      </c>
      <c r="N24" s="15">
        <v>144</v>
      </c>
      <c r="O24" s="364">
        <f t="shared" si="3"/>
        <v>1095.9543801356022</v>
      </c>
      <c r="P24" s="368">
        <f t="shared" si="4"/>
        <v>117</v>
      </c>
      <c r="Q24" s="364">
        <f t="shared" si="5"/>
        <v>890.4629338601768</v>
      </c>
      <c r="R24" s="366">
        <v>43421</v>
      </c>
      <c r="S24" s="364">
        <f t="shared" si="6"/>
        <v>610280.22679260885</v>
      </c>
      <c r="T24" s="366">
        <v>10.4</v>
      </c>
      <c r="U24" s="366">
        <v>4476</v>
      </c>
      <c r="V24" s="367">
        <f t="shared" si="7"/>
        <v>0.23235031277926721</v>
      </c>
      <c r="W24" s="366">
        <v>11.3</v>
      </c>
      <c r="X24" s="366">
        <v>4536</v>
      </c>
      <c r="Y24" s="367">
        <f t="shared" si="8"/>
        <v>0.24911816578483248</v>
      </c>
      <c r="Z24" s="363">
        <v>30</v>
      </c>
      <c r="AA24" s="363">
        <v>87</v>
      </c>
      <c r="AB24" s="365">
        <f t="shared" si="9"/>
        <v>117</v>
      </c>
      <c r="AC24" s="384" t="s">
        <v>310</v>
      </c>
      <c r="AD24" s="381" t="s">
        <v>370</v>
      </c>
    </row>
    <row r="25" spans="1:30" x14ac:dyDescent="0.2">
      <c r="A25" s="363" t="s">
        <v>192</v>
      </c>
      <c r="B25" s="335">
        <v>2</v>
      </c>
      <c r="C25" s="335">
        <v>38</v>
      </c>
      <c r="D25" s="335">
        <v>14</v>
      </c>
      <c r="F25" s="335">
        <v>25</v>
      </c>
      <c r="G25" s="361"/>
      <c r="H25" s="375">
        <v>102.09050000000001</v>
      </c>
      <c r="I25" s="356">
        <f t="shared" si="0"/>
        <v>100.38397246804328</v>
      </c>
      <c r="J25" s="362">
        <v>52.938000000000002</v>
      </c>
      <c r="K25" s="356">
        <f t="shared" si="1"/>
        <v>51.9</v>
      </c>
      <c r="L25" s="15">
        <v>25343</v>
      </c>
      <c r="M25" s="377">
        <f t="shared" si="2"/>
        <v>252460.62072376956</v>
      </c>
      <c r="N25" s="15">
        <v>111</v>
      </c>
      <c r="O25" s="364">
        <f t="shared" si="3"/>
        <v>1105.7542082759901</v>
      </c>
      <c r="P25" s="368">
        <f t="shared" si="4"/>
        <v>81</v>
      </c>
      <c r="Q25" s="364">
        <f t="shared" si="5"/>
        <v>806.90171955274957</v>
      </c>
      <c r="R25" s="366">
        <v>45179</v>
      </c>
      <c r="S25" s="364">
        <f t="shared" si="6"/>
        <v>618040.34266736731</v>
      </c>
      <c r="T25" s="366">
        <v>10.199999999999999</v>
      </c>
      <c r="U25" s="366">
        <v>4474</v>
      </c>
      <c r="V25" s="367">
        <f t="shared" si="7"/>
        <v>0.2279839070183281</v>
      </c>
      <c r="W25" s="366">
        <v>11.1</v>
      </c>
      <c r="X25" s="366">
        <v>4527</v>
      </c>
      <c r="Y25" s="367">
        <f t="shared" si="8"/>
        <v>0.24519549370444002</v>
      </c>
      <c r="Z25" s="363">
        <v>20</v>
      </c>
      <c r="AA25" s="363">
        <v>61</v>
      </c>
      <c r="AB25" s="365">
        <f t="shared" si="9"/>
        <v>81</v>
      </c>
      <c r="AC25" s="384" t="s">
        <v>308</v>
      </c>
      <c r="AD25" s="381" t="s">
        <v>369</v>
      </c>
    </row>
    <row r="26" spans="1:30" x14ac:dyDescent="0.2">
      <c r="A26" s="363" t="s">
        <v>192</v>
      </c>
      <c r="B26" s="335">
        <v>2</v>
      </c>
      <c r="C26" s="335">
        <v>38</v>
      </c>
      <c r="D26" s="335">
        <v>17</v>
      </c>
      <c r="F26" s="335">
        <v>5</v>
      </c>
      <c r="G26" s="361"/>
      <c r="H26" s="375">
        <v>107.5035</v>
      </c>
      <c r="I26" s="356">
        <f t="shared" si="0"/>
        <v>105.70648967551624</v>
      </c>
      <c r="J26" s="362">
        <v>54.844999999999999</v>
      </c>
      <c r="K26" s="356">
        <f t="shared" si="1"/>
        <v>53.769607843137251</v>
      </c>
      <c r="L26" s="15">
        <v>28283</v>
      </c>
      <c r="M26" s="377">
        <f t="shared" si="2"/>
        <v>267561.62357504637</v>
      </c>
      <c r="N26" s="15">
        <v>122</v>
      </c>
      <c r="O26" s="364">
        <f t="shared" si="3"/>
        <v>1154.1391675619864</v>
      </c>
      <c r="P26" s="368">
        <f t="shared" si="4"/>
        <v>96</v>
      </c>
      <c r="Q26" s="364">
        <f t="shared" si="5"/>
        <v>908.17508267172684</v>
      </c>
      <c r="R26" s="366">
        <v>46226</v>
      </c>
      <c r="S26" s="364">
        <f t="shared" si="6"/>
        <v>592143.36320588179</v>
      </c>
      <c r="T26" s="366">
        <v>10.3</v>
      </c>
      <c r="U26" s="366">
        <v>4513</v>
      </c>
      <c r="V26" s="367">
        <f t="shared" si="7"/>
        <v>0.22822955905162867</v>
      </c>
      <c r="W26" s="366">
        <v>11.4</v>
      </c>
      <c r="X26" s="366">
        <v>4535</v>
      </c>
      <c r="Y26" s="367">
        <f t="shared" si="8"/>
        <v>0.25137816979051819</v>
      </c>
      <c r="Z26" s="363">
        <v>23</v>
      </c>
      <c r="AA26" s="363">
        <v>73</v>
      </c>
      <c r="AB26" s="365">
        <f t="shared" si="9"/>
        <v>96</v>
      </c>
      <c r="AC26" s="385" t="s">
        <v>249</v>
      </c>
      <c r="AD26" s="382" t="s">
        <v>368</v>
      </c>
    </row>
    <row r="27" spans="1:30" x14ac:dyDescent="0.2">
      <c r="A27" s="369"/>
      <c r="B27" s="369"/>
      <c r="C27" s="369"/>
      <c r="D27" s="369"/>
      <c r="E27" s="369"/>
      <c r="F27" s="369"/>
      <c r="G27" s="369"/>
      <c r="H27" s="369"/>
      <c r="I27" s="370"/>
      <c r="J27" s="370"/>
      <c r="K27" s="370"/>
      <c r="L27" s="370"/>
      <c r="M27" s="371"/>
      <c r="N27" s="371"/>
      <c r="O27" s="371"/>
      <c r="P27" s="371"/>
      <c r="Q27" s="371"/>
      <c r="R27" s="370"/>
      <c r="S27" s="371"/>
      <c r="T27" s="372"/>
      <c r="U27" s="372"/>
      <c r="V27" s="372"/>
      <c r="W27" s="372"/>
      <c r="X27" s="372"/>
      <c r="Y27" s="372"/>
      <c r="Z27" s="372"/>
      <c r="AA27" s="372"/>
      <c r="AB27" s="372"/>
    </row>
    <row r="29" spans="1:30" x14ac:dyDescent="0.2">
      <c r="A29" s="333" t="s">
        <v>468</v>
      </c>
    </row>
    <row r="30" spans="1:30" x14ac:dyDescent="0.2">
      <c r="A30" s="335" t="s">
        <v>0</v>
      </c>
    </row>
    <row r="31" spans="1:30" x14ac:dyDescent="0.2">
      <c r="A31" s="335" t="s">
        <v>1</v>
      </c>
    </row>
    <row r="32" spans="1:30" x14ac:dyDescent="0.2">
      <c r="A32" s="335" t="s">
        <v>436</v>
      </c>
    </row>
    <row r="33" spans="1:1" x14ac:dyDescent="0.2">
      <c r="A33" s="335" t="s">
        <v>2</v>
      </c>
    </row>
    <row r="35" spans="1:1" x14ac:dyDescent="0.2">
      <c r="A35" s="335" t="s">
        <v>492</v>
      </c>
    </row>
    <row r="36" spans="1:1" x14ac:dyDescent="0.2">
      <c r="A36" s="335" t="s">
        <v>493</v>
      </c>
    </row>
    <row r="37" spans="1:1" x14ac:dyDescent="0.2">
      <c r="A37" s="335" t="s">
        <v>494</v>
      </c>
    </row>
    <row r="54" spans="1:19" x14ac:dyDescent="0.2">
      <c r="R54" s="333"/>
      <c r="S54" s="373"/>
    </row>
    <row r="55" spans="1:19" x14ac:dyDescent="0.2">
      <c r="R55" s="333"/>
      <c r="S55" s="373"/>
    </row>
    <row r="56" spans="1:19" x14ac:dyDescent="0.2">
      <c r="R56" s="333"/>
      <c r="S56" s="341"/>
    </row>
    <row r="57" spans="1:19" x14ac:dyDescent="0.2">
      <c r="A57" s="375"/>
      <c r="B57" s="375"/>
      <c r="R57" s="333"/>
    </row>
    <row r="58" spans="1:19" x14ac:dyDescent="0.2">
      <c r="A58" s="375"/>
      <c r="B58" s="375"/>
      <c r="R58" s="333"/>
    </row>
    <row r="59" spans="1:19" x14ac:dyDescent="0.2">
      <c r="A59" s="375"/>
      <c r="B59" s="375"/>
      <c r="R59" s="333"/>
    </row>
    <row r="60" spans="1:19" x14ac:dyDescent="0.2">
      <c r="A60" s="375"/>
      <c r="B60" s="375"/>
      <c r="R60" s="333"/>
    </row>
    <row r="61" spans="1:19" x14ac:dyDescent="0.2">
      <c r="A61" s="375"/>
      <c r="B61" s="375"/>
      <c r="R61" s="333"/>
      <c r="S61" s="334"/>
    </row>
    <row r="62" spans="1:19" x14ac:dyDescent="0.2">
      <c r="A62" s="375"/>
      <c r="B62" s="375"/>
      <c r="R62" s="333"/>
      <c r="S62" s="334"/>
    </row>
    <row r="63" spans="1:19" x14ac:dyDescent="0.2">
      <c r="A63" s="375"/>
      <c r="B63" s="375"/>
      <c r="R63" s="333"/>
      <c r="S63" s="341"/>
    </row>
    <row r="64" spans="1:19" x14ac:dyDescent="0.2">
      <c r="A64" s="375"/>
      <c r="B64" s="375"/>
      <c r="R64" s="333"/>
      <c r="S64" s="341"/>
    </row>
    <row r="65" spans="1:19" x14ac:dyDescent="0.2">
      <c r="A65" s="375"/>
      <c r="B65" s="375"/>
      <c r="R65" s="333"/>
      <c r="S65" s="341"/>
    </row>
    <row r="66" spans="1:19" x14ac:dyDescent="0.2">
      <c r="A66" s="375"/>
      <c r="B66" s="375"/>
      <c r="R66" s="333"/>
      <c r="S66" s="334"/>
    </row>
    <row r="67" spans="1:19" x14ac:dyDescent="0.2">
      <c r="A67" s="375"/>
      <c r="B67" s="375"/>
      <c r="S67" s="333"/>
    </row>
    <row r="68" spans="1:19" x14ac:dyDescent="0.2">
      <c r="A68" s="375"/>
      <c r="B68" s="375"/>
    </row>
    <row r="69" spans="1:19" x14ac:dyDescent="0.2">
      <c r="A69" s="375"/>
      <c r="B69" s="375"/>
      <c r="S69" s="334"/>
    </row>
    <row r="70" spans="1:19" x14ac:dyDescent="0.2">
      <c r="A70" s="375"/>
      <c r="B70" s="375"/>
      <c r="S70" s="334"/>
    </row>
    <row r="71" spans="1:19" x14ac:dyDescent="0.2">
      <c r="A71" s="375"/>
      <c r="B71" s="375"/>
    </row>
    <row r="72" spans="1:19" x14ac:dyDescent="0.2">
      <c r="A72" s="375"/>
      <c r="B72" s="375"/>
    </row>
    <row r="73" spans="1:19" x14ac:dyDescent="0.2">
      <c r="A73" s="375"/>
      <c r="B73" s="375"/>
    </row>
    <row r="74" spans="1:19" x14ac:dyDescent="0.2">
      <c r="A74" s="375"/>
      <c r="B74" s="375"/>
    </row>
    <row r="75" spans="1:19" x14ac:dyDescent="0.2">
      <c r="A75" s="375"/>
      <c r="B75" s="375"/>
    </row>
    <row r="76" spans="1:19" x14ac:dyDescent="0.2">
      <c r="A76" s="375"/>
      <c r="B76" s="375"/>
    </row>
    <row r="77" spans="1:19" x14ac:dyDescent="0.2">
      <c r="A77" s="375"/>
      <c r="B77" s="375"/>
    </row>
    <row r="78" spans="1:19" x14ac:dyDescent="0.2">
      <c r="A78" s="375"/>
      <c r="B78" s="375"/>
    </row>
    <row r="79" spans="1:19" x14ac:dyDescent="0.2">
      <c r="B79" s="374"/>
    </row>
    <row r="80" spans="1:19" x14ac:dyDescent="0.2">
      <c r="B80" s="374"/>
    </row>
    <row r="81" spans="2:2" x14ac:dyDescent="0.2">
      <c r="B81" s="374"/>
    </row>
    <row r="82" spans="2:2" x14ac:dyDescent="0.2">
      <c r="B82" s="374"/>
    </row>
  </sheetData>
  <phoneticPr fontId="57" type="noConversion"/>
  <pageMargins left="0.75" right="0.75" top="1" bottom="1" header="0.5" footer="0.5"/>
  <pageSetup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0AA2-9049-F346-8BF9-06C00EC9CDCF}">
  <dimension ref="A1:BM325"/>
  <sheetViews>
    <sheetView topLeftCell="B76" zoomScale="120" zoomScaleNormal="120" zoomScalePageLayoutView="90" workbookViewId="0">
      <pane xSplit="4280" ySplit="8180" topLeftCell="E164" activePane="bottomLeft"/>
      <selection activeCell="B39" sqref="A39:XFD39"/>
      <selection pane="topRight" activeCell="AC13" sqref="AC13"/>
      <selection pane="bottomLeft" activeCell="B208" sqref="B208:B227"/>
      <selection pane="bottomRight" activeCell="AM208" sqref="AM208:AM227"/>
    </sheetView>
  </sheetViews>
  <sheetFormatPr baseColWidth="10" defaultColWidth="8.83203125" defaultRowHeight="16" x14ac:dyDescent="0.2"/>
  <cols>
    <col min="1" max="1" width="19.5" style="130" customWidth="1"/>
    <col min="2" max="2" width="26.1640625" style="9" customWidth="1"/>
    <col min="3" max="3" width="11" style="5" customWidth="1"/>
    <col min="4" max="4" width="9" style="5" customWidth="1"/>
    <col min="5" max="5" width="8.6640625" style="5" customWidth="1"/>
    <col min="6" max="6" width="8.83203125" style="5" customWidth="1"/>
    <col min="7" max="7" width="8.5" style="10" customWidth="1"/>
    <col min="8" max="8" width="6.33203125" style="10" customWidth="1"/>
    <col min="9" max="9" width="38.83203125" style="227" customWidth="1"/>
    <col min="10" max="10" width="12.83203125" style="5" customWidth="1"/>
    <col min="11" max="11" width="14.1640625" style="10" customWidth="1"/>
    <col min="12" max="12" width="39.33203125" style="11" customWidth="1"/>
    <col min="13" max="16" width="10.33203125" style="11" customWidth="1"/>
    <col min="17" max="17" width="22.33203125" style="7" customWidth="1"/>
    <col min="18" max="18" width="7.83203125" style="8" customWidth="1"/>
    <col min="19" max="19" width="6.6640625" style="16" customWidth="1"/>
    <col min="20" max="20" width="9" style="8" customWidth="1"/>
    <col min="21" max="21" width="8.5" style="8" customWidth="1"/>
    <col min="22" max="26" width="8.83203125" style="8"/>
    <col min="27" max="27" width="8.83203125" style="12"/>
    <col min="28" max="28" width="28.33203125" style="93" customWidth="1"/>
    <col min="29" max="29" width="10.83203125" style="12" customWidth="1"/>
    <col min="30" max="30" width="5.83203125" style="12" customWidth="1"/>
    <col min="31" max="31" width="7.6640625" style="12" customWidth="1"/>
    <col min="32" max="32" width="6.6640625" style="12" customWidth="1"/>
    <col min="33" max="34" width="10.33203125" style="14" customWidth="1"/>
    <col min="35" max="35" width="8.83203125" style="6"/>
    <col min="36" max="36" width="8.83203125" style="89"/>
    <col min="37" max="37" width="8.83203125" style="6"/>
    <col min="38" max="38" width="8.83203125" style="89"/>
    <col min="39" max="16384" width="8.83203125" style="4"/>
  </cols>
  <sheetData>
    <row r="1" spans="1:65" s="3" customFormat="1" ht="20" x14ac:dyDescent="0.2">
      <c r="A1" s="73" t="s">
        <v>25</v>
      </c>
      <c r="B1" s="47" t="s">
        <v>25</v>
      </c>
      <c r="C1" s="72"/>
      <c r="D1" s="72"/>
      <c r="E1" s="72" t="s">
        <v>23</v>
      </c>
      <c r="F1" s="72" t="s">
        <v>4</v>
      </c>
      <c r="G1" s="73" t="s">
        <v>27</v>
      </c>
      <c r="H1" s="73"/>
      <c r="I1" s="47"/>
      <c r="J1" s="277" t="s">
        <v>161</v>
      </c>
      <c r="K1" s="275" t="s">
        <v>160</v>
      </c>
      <c r="L1" s="83"/>
      <c r="M1" s="85" t="s">
        <v>11</v>
      </c>
      <c r="N1" s="283"/>
      <c r="O1" s="283"/>
      <c r="P1" s="283"/>
      <c r="Q1" s="284"/>
      <c r="R1" s="82"/>
      <c r="S1" s="84"/>
      <c r="T1" s="63"/>
      <c r="U1" s="63"/>
      <c r="V1" s="155" t="s">
        <v>168</v>
      </c>
      <c r="W1" s="154"/>
      <c r="X1" s="285" t="s">
        <v>24</v>
      </c>
      <c r="Y1" s="286" t="s">
        <v>151</v>
      </c>
      <c r="Z1" s="154"/>
      <c r="AA1" s="285" t="s">
        <v>24</v>
      </c>
      <c r="AB1" s="80"/>
      <c r="AC1" s="152" t="s">
        <v>68</v>
      </c>
      <c r="AD1" s="152"/>
      <c r="AE1" s="42"/>
      <c r="AF1" s="42"/>
      <c r="AG1" s="80"/>
      <c r="AH1" s="75"/>
      <c r="AI1" s="234"/>
      <c r="AJ1" s="234"/>
      <c r="AK1" s="234"/>
      <c r="AL1" s="234"/>
      <c r="AM1" s="234"/>
      <c r="AN1" s="234"/>
      <c r="AO1" s="234"/>
      <c r="AP1" s="234"/>
      <c r="AQ1" s="234" t="s">
        <v>88</v>
      </c>
      <c r="AR1" s="234"/>
      <c r="AS1" s="234"/>
      <c r="AT1" s="234"/>
      <c r="AU1" s="234"/>
      <c r="AV1" s="234"/>
      <c r="AW1" s="234"/>
      <c r="AX1" s="234"/>
      <c r="AY1" s="234"/>
      <c r="AZ1" s="234"/>
      <c r="BA1" s="19" t="s">
        <v>96</v>
      </c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</row>
    <row r="2" spans="1:65" s="3" customFormat="1" ht="19" x14ac:dyDescent="0.2">
      <c r="A2" s="126"/>
      <c r="B2" s="47"/>
      <c r="C2" s="72"/>
      <c r="D2" s="72"/>
      <c r="E2" s="72"/>
      <c r="F2" s="72"/>
      <c r="G2" s="212" t="s">
        <v>101</v>
      </c>
      <c r="H2" s="212"/>
      <c r="I2" s="217"/>
      <c r="J2" s="276" t="s">
        <v>45</v>
      </c>
      <c r="K2" s="161" t="s">
        <v>150</v>
      </c>
      <c r="L2" s="238">
        <v>1</v>
      </c>
      <c r="M2" s="78" t="s">
        <v>118</v>
      </c>
      <c r="N2" s="228"/>
      <c r="O2" s="228"/>
      <c r="P2" s="228"/>
      <c r="Q2" s="201"/>
      <c r="R2" s="63"/>
      <c r="S2" s="60"/>
      <c r="T2" s="76"/>
      <c r="U2" s="76"/>
      <c r="V2" s="156" t="s">
        <v>169</v>
      </c>
      <c r="W2" s="119"/>
      <c r="X2" s="153"/>
      <c r="Y2" s="264" t="s">
        <v>152</v>
      </c>
      <c r="Z2" s="262"/>
      <c r="AA2" s="263">
        <v>0.77222222222222225</v>
      </c>
      <c r="AB2" s="80"/>
      <c r="AC2" s="186" t="s">
        <v>60</v>
      </c>
      <c r="AD2" s="186"/>
      <c r="AE2" s="187" t="s">
        <v>70</v>
      </c>
      <c r="AF2" s="42"/>
      <c r="AG2" s="75"/>
      <c r="AH2" s="75"/>
      <c r="AI2" s="59"/>
      <c r="AJ2" s="46"/>
      <c r="AK2" s="46"/>
      <c r="AL2" s="46"/>
      <c r="AM2" s="46"/>
      <c r="AN2" s="46"/>
      <c r="AO2" s="46"/>
      <c r="AP2" s="59"/>
      <c r="AQ2" s="59"/>
      <c r="AR2" s="46" t="s">
        <v>89</v>
      </c>
      <c r="AS2" s="46" t="s">
        <v>90</v>
      </c>
      <c r="AT2" s="46" t="s">
        <v>92</v>
      </c>
      <c r="AU2" s="46" t="s">
        <v>91</v>
      </c>
      <c r="AV2" s="46" t="s">
        <v>93</v>
      </c>
      <c r="AW2" s="46" t="s">
        <v>92</v>
      </c>
      <c r="AX2" s="59">
        <v>81</v>
      </c>
      <c r="AY2" s="46"/>
      <c r="AZ2" s="5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</row>
    <row r="3" spans="1:65" s="3" customFormat="1" ht="19" x14ac:dyDescent="0.2">
      <c r="A3" s="211" t="s">
        <v>76</v>
      </c>
      <c r="B3" s="204"/>
      <c r="C3" s="204"/>
      <c r="D3" s="72"/>
      <c r="E3" s="72"/>
      <c r="F3" s="61"/>
      <c r="G3" s="206"/>
      <c r="H3" s="206"/>
      <c r="I3" s="218"/>
      <c r="J3" s="276" t="s">
        <v>46</v>
      </c>
      <c r="K3" s="161" t="s">
        <v>135</v>
      </c>
      <c r="L3" s="238">
        <v>2</v>
      </c>
      <c r="M3" s="78" t="s">
        <v>237</v>
      </c>
      <c r="N3" s="228"/>
      <c r="O3" s="228"/>
      <c r="P3" s="228"/>
      <c r="Q3" s="201"/>
      <c r="R3" s="63"/>
      <c r="S3" s="60"/>
      <c r="T3" s="63"/>
      <c r="U3" s="63"/>
      <c r="V3" s="156" t="s">
        <v>145</v>
      </c>
      <c r="W3" s="153"/>
      <c r="X3" s="153" t="s">
        <v>261</v>
      </c>
      <c r="Y3" s="264" t="s">
        <v>154</v>
      </c>
      <c r="Z3" s="262"/>
      <c r="AA3" s="263">
        <v>0.80347222222222225</v>
      </c>
      <c r="AB3" s="80"/>
      <c r="AC3" s="198"/>
      <c r="AD3" s="199"/>
      <c r="AE3" s="200"/>
      <c r="AF3" s="42"/>
      <c r="AG3" s="46"/>
      <c r="AH3" s="75"/>
      <c r="AI3" s="236"/>
      <c r="AJ3" s="237"/>
      <c r="AK3" s="237"/>
      <c r="AL3" s="237"/>
      <c r="AM3" s="237"/>
      <c r="AN3" s="237"/>
      <c r="AO3" s="237"/>
      <c r="AP3" s="237"/>
      <c r="AQ3" s="236"/>
      <c r="AR3" s="237" t="s">
        <v>95</v>
      </c>
      <c r="AS3" s="237" t="s">
        <v>95</v>
      </c>
      <c r="AT3" s="237" t="s">
        <v>3</v>
      </c>
      <c r="AU3" s="237" t="s">
        <v>3</v>
      </c>
      <c r="AV3" s="237" t="s">
        <v>3</v>
      </c>
      <c r="AW3" s="237" t="s">
        <v>94</v>
      </c>
      <c r="AX3" s="237" t="s">
        <v>94</v>
      </c>
      <c r="AY3" s="59"/>
      <c r="AZ3" s="5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</row>
    <row r="4" spans="1:65" s="3" customFormat="1" x14ac:dyDescent="0.2">
      <c r="A4" s="209" t="s">
        <v>170</v>
      </c>
      <c r="B4" s="208"/>
      <c r="C4" s="46"/>
      <c r="D4" s="46"/>
      <c r="E4" s="61"/>
      <c r="F4" s="79"/>
      <c r="G4" s="77"/>
      <c r="H4" s="77"/>
      <c r="I4" s="77"/>
      <c r="J4" s="46"/>
      <c r="K4" s="78"/>
      <c r="L4" s="239">
        <v>3</v>
      </c>
      <c r="M4" s="209" t="s">
        <v>238</v>
      </c>
      <c r="N4" s="229"/>
      <c r="O4" s="229"/>
      <c r="P4" s="229"/>
      <c r="Q4" s="117"/>
      <c r="R4" s="63"/>
      <c r="S4" s="60"/>
      <c r="T4" s="63"/>
      <c r="U4" s="63"/>
      <c r="V4" s="156" t="s">
        <v>148</v>
      </c>
      <c r="W4" s="153"/>
      <c r="X4" s="153" t="s">
        <v>178</v>
      </c>
      <c r="Y4" s="264"/>
      <c r="Z4" s="262"/>
      <c r="AA4" s="263"/>
      <c r="AB4" s="80"/>
      <c r="AC4" s="198"/>
      <c r="AD4" s="199"/>
      <c r="AE4" s="200"/>
      <c r="AF4" s="42"/>
      <c r="AG4" s="46"/>
      <c r="AH4" s="75"/>
      <c r="AI4" s="235"/>
      <c r="AJ4" s="59"/>
      <c r="AK4" s="59"/>
      <c r="AL4" s="59"/>
      <c r="AM4" s="59"/>
      <c r="AN4" s="59"/>
      <c r="AO4" s="59"/>
      <c r="AP4" s="59"/>
      <c r="AQ4" s="235">
        <v>1</v>
      </c>
      <c r="AR4" s="59"/>
      <c r="AS4" s="59"/>
      <c r="AT4" s="59"/>
      <c r="AU4" s="59"/>
      <c r="AV4" s="59">
        <f t="shared" ref="AV4:AV12" si="0">(AS4-AR4)*1000</f>
        <v>0</v>
      </c>
      <c r="AW4" s="59" t="e">
        <f>(AT4/$AM4)*100</f>
        <v>#DIV/0!</v>
      </c>
      <c r="AX4" s="59" t="e">
        <f>(AU4/$AM4)*100</f>
        <v>#DIV/0!</v>
      </c>
      <c r="AY4" s="59"/>
      <c r="AZ4" s="5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</row>
    <row r="5" spans="1:65" s="3" customFormat="1" x14ac:dyDescent="0.2">
      <c r="A5" s="210">
        <v>2</v>
      </c>
      <c r="B5" s="201"/>
      <c r="C5" s="46"/>
      <c r="D5" s="46"/>
      <c r="E5" s="61"/>
      <c r="F5" s="61"/>
      <c r="G5" s="78"/>
      <c r="H5" s="78"/>
      <c r="I5" s="219"/>
      <c r="J5" s="46"/>
      <c r="K5" s="78"/>
      <c r="L5" s="239">
        <v>4</v>
      </c>
      <c r="M5" s="209" t="s">
        <v>247</v>
      </c>
      <c r="N5" s="229"/>
      <c r="O5" s="229"/>
      <c r="P5" s="229"/>
      <c r="Q5" s="117"/>
      <c r="R5" s="63"/>
      <c r="S5" s="60"/>
      <c r="T5" s="63"/>
      <c r="U5" s="63"/>
      <c r="V5" s="156" t="s">
        <v>149</v>
      </c>
      <c r="W5" s="119"/>
      <c r="X5" s="153" t="s">
        <v>299</v>
      </c>
      <c r="Y5" s="264"/>
      <c r="Z5" s="262"/>
      <c r="AA5" s="263"/>
      <c r="AB5" s="80"/>
      <c r="AC5" s="198"/>
      <c r="AD5" s="199"/>
      <c r="AE5" s="200"/>
      <c r="AF5" s="41"/>
      <c r="AG5" s="316"/>
      <c r="AH5" s="313" t="s">
        <v>177</v>
      </c>
      <c r="AI5" s="314">
        <v>4.1900000000000004</v>
      </c>
      <c r="AJ5" s="315">
        <v>4290</v>
      </c>
      <c r="AK5" s="314">
        <v>4.32</v>
      </c>
      <c r="AL5" s="315">
        <v>4570</v>
      </c>
      <c r="AM5" s="59"/>
      <c r="AN5" s="59"/>
      <c r="AO5" s="59"/>
      <c r="AP5" s="59"/>
      <c r="AQ5" s="235">
        <v>2</v>
      </c>
      <c r="AR5" s="59"/>
      <c r="AS5" s="59"/>
      <c r="AT5" s="59"/>
      <c r="AU5" s="59"/>
      <c r="AV5" s="59">
        <f t="shared" si="0"/>
        <v>0</v>
      </c>
      <c r="AW5" s="59" t="e">
        <f t="shared" ref="AW5:AW12" si="1">(AT5/$AM5)*100</f>
        <v>#DIV/0!</v>
      </c>
      <c r="AX5" s="59" t="e">
        <f t="shared" ref="AX5:AX12" si="2">(AU5/$AM5)*100</f>
        <v>#DIV/0!</v>
      </c>
      <c r="AY5" s="59"/>
      <c r="AZ5" s="5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spans="1:65" s="3" customFormat="1" x14ac:dyDescent="0.2">
      <c r="A6" s="210">
        <v>3</v>
      </c>
      <c r="B6" s="131"/>
      <c r="C6" s="59"/>
      <c r="D6" s="46"/>
      <c r="E6" s="202" t="s">
        <v>75</v>
      </c>
      <c r="F6" s="203"/>
      <c r="G6" s="204"/>
      <c r="H6" s="204"/>
      <c r="I6" s="77"/>
      <c r="J6" s="46"/>
      <c r="K6" s="78"/>
      <c r="L6" s="239">
        <v>5</v>
      </c>
      <c r="M6" s="209"/>
      <c r="N6" s="229"/>
      <c r="O6" s="229"/>
      <c r="P6" s="229"/>
      <c r="Q6" s="117"/>
      <c r="R6" s="63"/>
      <c r="S6" s="60"/>
      <c r="T6" s="80"/>
      <c r="U6" s="63"/>
      <c r="V6" s="156" t="s">
        <v>153</v>
      </c>
      <c r="W6" s="119"/>
      <c r="X6" s="153" t="s">
        <v>265</v>
      </c>
      <c r="Y6" s="264"/>
      <c r="Z6" s="262"/>
      <c r="AA6" s="263"/>
      <c r="AB6" s="80"/>
      <c r="AC6" s="198"/>
      <c r="AD6" s="199"/>
      <c r="AE6" s="200"/>
      <c r="AF6" s="41"/>
      <c r="AG6" s="316"/>
      <c r="AH6" s="313" t="s">
        <v>176</v>
      </c>
      <c r="AI6" s="314">
        <v>3.57</v>
      </c>
      <c r="AJ6" s="315">
        <v>4250</v>
      </c>
      <c r="AK6" s="314">
        <v>4.25</v>
      </c>
      <c r="AL6" s="315">
        <v>4710</v>
      </c>
      <c r="AM6" s="59"/>
      <c r="AN6" s="59"/>
      <c r="AO6" s="59"/>
      <c r="AP6" s="59"/>
      <c r="AQ6" s="235">
        <v>3</v>
      </c>
      <c r="AR6" s="59"/>
      <c r="AS6" s="59"/>
      <c r="AT6" s="59"/>
      <c r="AU6" s="59"/>
      <c r="AV6" s="59">
        <f t="shared" si="0"/>
        <v>0</v>
      </c>
      <c r="AW6" s="59" t="e">
        <f t="shared" si="1"/>
        <v>#DIV/0!</v>
      </c>
      <c r="AX6" s="59" t="e">
        <f t="shared" si="2"/>
        <v>#DIV/0!</v>
      </c>
      <c r="AY6" s="59"/>
      <c r="AZ6" s="5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</row>
    <row r="7" spans="1:65" s="3" customFormat="1" x14ac:dyDescent="0.2">
      <c r="A7" s="210">
        <v>4</v>
      </c>
      <c r="B7" s="131"/>
      <c r="C7" s="46"/>
      <c r="D7" s="46"/>
      <c r="E7" s="205" t="s">
        <v>165</v>
      </c>
      <c r="F7" s="25"/>
      <c r="G7" s="78"/>
      <c r="H7" s="78"/>
      <c r="I7" s="219"/>
      <c r="J7" s="46"/>
      <c r="K7" s="78"/>
      <c r="L7" s="239">
        <v>6</v>
      </c>
      <c r="M7" s="209"/>
      <c r="N7" s="229"/>
      <c r="O7" s="229"/>
      <c r="P7" s="229"/>
      <c r="Q7" s="117"/>
      <c r="R7" s="63"/>
      <c r="S7" s="60"/>
      <c r="T7" s="63"/>
      <c r="U7" s="63"/>
      <c r="V7" s="156"/>
      <c r="W7" s="119"/>
      <c r="X7" s="153"/>
      <c r="Y7" s="264"/>
      <c r="Z7" s="262"/>
      <c r="AA7" s="263"/>
      <c r="AB7" s="80"/>
      <c r="AC7" s="198"/>
      <c r="AD7" s="199"/>
      <c r="AE7" s="200"/>
      <c r="AF7" s="41"/>
      <c r="AG7" s="316"/>
      <c r="AH7" s="313" t="s">
        <v>175</v>
      </c>
      <c r="AI7" s="314">
        <v>3.71</v>
      </c>
      <c r="AJ7" s="315">
        <v>4260</v>
      </c>
      <c r="AK7" s="314">
        <v>4.22</v>
      </c>
      <c r="AL7" s="315">
        <v>4720</v>
      </c>
      <c r="AM7" s="59"/>
      <c r="AN7" s="59"/>
      <c r="AO7" s="59"/>
      <c r="AP7" s="59"/>
      <c r="AQ7" s="235">
        <v>4</v>
      </c>
      <c r="AR7" s="59"/>
      <c r="AS7" s="59"/>
      <c r="AT7" s="59"/>
      <c r="AU7" s="59"/>
      <c r="AV7" s="59">
        <f t="shared" si="0"/>
        <v>0</v>
      </c>
      <c r="AW7" s="59" t="e">
        <f t="shared" si="1"/>
        <v>#DIV/0!</v>
      </c>
      <c r="AX7" s="59" t="e">
        <f t="shared" si="2"/>
        <v>#DIV/0!</v>
      </c>
      <c r="AY7" s="59"/>
      <c r="AZ7" s="5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</row>
    <row r="8" spans="1:65" s="3" customFormat="1" x14ac:dyDescent="0.2">
      <c r="A8" s="210">
        <v>5</v>
      </c>
      <c r="B8" s="131"/>
      <c r="C8" s="46"/>
      <c r="D8" s="46"/>
      <c r="E8" s="205" t="s">
        <v>164</v>
      </c>
      <c r="F8" s="25"/>
      <c r="G8" s="78"/>
      <c r="H8" s="78"/>
      <c r="I8" s="219"/>
      <c r="J8" s="46"/>
      <c r="K8" s="78"/>
      <c r="L8" s="239">
        <v>7</v>
      </c>
      <c r="M8" s="209"/>
      <c r="N8" s="229"/>
      <c r="O8" s="229"/>
      <c r="P8" s="229"/>
      <c r="Q8" s="117"/>
      <c r="R8" s="63"/>
      <c r="S8" s="60"/>
      <c r="T8" s="63"/>
      <c r="U8" s="63"/>
      <c r="V8" s="156"/>
      <c r="W8" s="119"/>
      <c r="X8" s="153"/>
      <c r="Y8" s="264" t="s">
        <v>156</v>
      </c>
      <c r="Z8" s="262"/>
      <c r="AA8" s="263">
        <v>0.8256944444444444</v>
      </c>
      <c r="AB8" s="80"/>
      <c r="AC8" s="198"/>
      <c r="AD8" s="199"/>
      <c r="AE8" s="200"/>
      <c r="AF8" s="41"/>
      <c r="AG8" s="316"/>
      <c r="AH8" s="313" t="s">
        <v>180</v>
      </c>
      <c r="AI8" s="314">
        <v>3.75</v>
      </c>
      <c r="AJ8" s="315">
        <v>4220</v>
      </c>
      <c r="AK8" s="314">
        <v>4.25</v>
      </c>
      <c r="AL8" s="315">
        <v>4710</v>
      </c>
      <c r="AM8" s="59"/>
      <c r="AN8" s="59"/>
      <c r="AO8" s="59"/>
      <c r="AP8" s="59"/>
      <c r="AQ8" s="235">
        <v>5</v>
      </c>
      <c r="AR8" s="59"/>
      <c r="AS8" s="59"/>
      <c r="AT8" s="59"/>
      <c r="AU8" s="59"/>
      <c r="AV8" s="59">
        <f t="shared" si="0"/>
        <v>0</v>
      </c>
      <c r="AW8" s="59" t="e">
        <f t="shared" si="1"/>
        <v>#DIV/0!</v>
      </c>
      <c r="AX8" s="59" t="e">
        <f t="shared" si="2"/>
        <v>#DIV/0!</v>
      </c>
      <c r="AY8" s="59"/>
      <c r="AZ8" s="5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</row>
    <row r="9" spans="1:65" s="3" customFormat="1" ht="14" customHeight="1" x14ac:dyDescent="0.2">
      <c r="A9" s="210">
        <v>6</v>
      </c>
      <c r="B9" s="131"/>
      <c r="C9" s="46"/>
      <c r="D9" s="46"/>
      <c r="E9" s="205" t="s">
        <v>163</v>
      </c>
      <c r="F9" s="25"/>
      <c r="G9" s="61"/>
      <c r="H9" s="61"/>
      <c r="I9" s="77"/>
      <c r="J9" s="46"/>
      <c r="K9" s="78"/>
      <c r="L9" s="240">
        <v>8</v>
      </c>
      <c r="M9" s="201"/>
      <c r="N9" s="230"/>
      <c r="O9" s="230"/>
      <c r="P9" s="230"/>
      <c r="Q9" s="117"/>
      <c r="R9" s="63"/>
      <c r="S9" s="60"/>
      <c r="T9" s="63"/>
      <c r="U9" s="63"/>
      <c r="V9" s="156"/>
      <c r="W9" s="119"/>
      <c r="X9" s="153"/>
      <c r="Y9" s="264"/>
      <c r="Z9" s="262"/>
      <c r="AA9" s="263"/>
      <c r="AB9" s="80"/>
      <c r="AC9" s="198"/>
      <c r="AD9" s="199"/>
      <c r="AE9" s="200"/>
      <c r="AF9" s="41"/>
      <c r="AG9" s="316"/>
      <c r="AH9" s="313" t="s">
        <v>181</v>
      </c>
      <c r="AI9" s="314">
        <v>3.95</v>
      </c>
      <c r="AJ9" s="315">
        <v>4240</v>
      </c>
      <c r="AK9" s="314">
        <v>4.6399999999999997</v>
      </c>
      <c r="AL9" s="315">
        <v>4700</v>
      </c>
      <c r="AM9" s="59"/>
      <c r="AN9" s="59"/>
      <c r="AO9" s="59"/>
      <c r="AP9" s="59"/>
      <c r="AQ9" s="235">
        <v>6</v>
      </c>
      <c r="AR9" s="59"/>
      <c r="AS9" s="59"/>
      <c r="AT9" s="59"/>
      <c r="AU9" s="59"/>
      <c r="AV9" s="59">
        <f t="shared" si="0"/>
        <v>0</v>
      </c>
      <c r="AW9" s="59" t="e">
        <f t="shared" si="1"/>
        <v>#DIV/0!</v>
      </c>
      <c r="AX9" s="59" t="e">
        <f t="shared" si="2"/>
        <v>#DIV/0!</v>
      </c>
      <c r="AY9" s="59"/>
      <c r="AZ9" s="5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</row>
    <row r="10" spans="1:65" s="3" customFormat="1" ht="14" customHeight="1" x14ac:dyDescent="0.2">
      <c r="A10" s="210">
        <v>7</v>
      </c>
      <c r="B10" s="131"/>
      <c r="C10" s="46"/>
      <c r="D10" s="46"/>
      <c r="E10" s="205" t="s">
        <v>162</v>
      </c>
      <c r="F10" s="61"/>
      <c r="G10" s="61"/>
      <c r="H10" s="61"/>
      <c r="I10" s="77"/>
      <c r="J10" s="46"/>
      <c r="K10" s="78"/>
      <c r="L10" s="240">
        <v>9</v>
      </c>
      <c r="M10" s="201"/>
      <c r="N10" s="230"/>
      <c r="O10" s="230"/>
      <c r="P10" s="230"/>
      <c r="Q10" s="117"/>
      <c r="R10" s="63"/>
      <c r="S10" s="60"/>
      <c r="T10" s="63"/>
      <c r="U10" s="63"/>
      <c r="V10" s="81"/>
      <c r="W10" s="119"/>
      <c r="X10" s="153"/>
      <c r="Y10" s="264"/>
      <c r="Z10" s="87"/>
      <c r="AA10" s="263"/>
      <c r="AB10" s="80"/>
      <c r="AC10" s="198"/>
      <c r="AD10" s="199"/>
      <c r="AE10" s="200"/>
      <c r="AF10" s="41"/>
      <c r="AG10" s="316"/>
      <c r="AH10" s="313" t="s">
        <v>182</v>
      </c>
      <c r="AI10" s="314">
        <v>3.73</v>
      </c>
      <c r="AJ10" s="315">
        <v>4230</v>
      </c>
      <c r="AK10" s="314">
        <v>4.13</v>
      </c>
      <c r="AL10" s="315">
        <v>4690</v>
      </c>
      <c r="AM10" s="59"/>
      <c r="AN10" s="59"/>
      <c r="AO10" s="59"/>
      <c r="AP10" s="59"/>
      <c r="AQ10" s="235">
        <v>7</v>
      </c>
      <c r="AR10" s="59"/>
      <c r="AS10" s="59"/>
      <c r="AT10" s="59"/>
      <c r="AU10" s="59"/>
      <c r="AV10" s="59">
        <f t="shared" si="0"/>
        <v>0</v>
      </c>
      <c r="AW10" s="59" t="e">
        <f t="shared" si="1"/>
        <v>#DIV/0!</v>
      </c>
      <c r="AX10" s="59" t="e">
        <f t="shared" si="2"/>
        <v>#DIV/0!</v>
      </c>
      <c r="AY10" s="59"/>
      <c r="AZ10" s="5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</row>
    <row r="11" spans="1:65" s="3" customFormat="1" ht="14" customHeight="1" x14ac:dyDescent="0.2">
      <c r="A11" s="207"/>
      <c r="B11" s="77"/>
      <c r="C11" s="46"/>
      <c r="D11" s="46"/>
      <c r="E11" s="205" t="s">
        <v>166</v>
      </c>
      <c r="F11" s="61"/>
      <c r="G11" s="61"/>
      <c r="H11" s="61"/>
      <c r="I11" s="77"/>
      <c r="J11" s="46"/>
      <c r="K11" s="78"/>
      <c r="L11" s="239">
        <v>10</v>
      </c>
      <c r="M11" s="209"/>
      <c r="N11" s="229"/>
      <c r="O11" s="229"/>
      <c r="P11" s="229"/>
      <c r="Q11" s="117"/>
      <c r="R11" s="63"/>
      <c r="S11" s="60"/>
      <c r="T11" s="63"/>
      <c r="U11" s="63"/>
      <c r="V11" s="81"/>
      <c r="W11" s="119"/>
      <c r="X11" s="258"/>
      <c r="Y11" s="262"/>
      <c r="Z11" s="87"/>
      <c r="AA11" s="263"/>
      <c r="AB11" s="80"/>
      <c r="AC11" s="198"/>
      <c r="AD11" s="199"/>
      <c r="AE11" s="200"/>
      <c r="AF11" s="41"/>
      <c r="AG11" s="46" t="s">
        <v>119</v>
      </c>
      <c r="AH11" s="75" t="s">
        <v>239</v>
      </c>
      <c r="AI11" s="71">
        <v>6.08</v>
      </c>
      <c r="AJ11" s="39">
        <v>4310</v>
      </c>
      <c r="AK11" s="71">
        <v>4.43</v>
      </c>
      <c r="AL11" s="39">
        <v>4450</v>
      </c>
      <c r="AM11" s="59"/>
      <c r="AN11" s="59"/>
      <c r="AO11" s="59"/>
      <c r="AP11" s="59"/>
      <c r="AQ11" s="235">
        <v>8</v>
      </c>
      <c r="AR11" s="59"/>
      <c r="AS11" s="59"/>
      <c r="AT11" s="59"/>
      <c r="AU11" s="59"/>
      <c r="AV11" s="59">
        <f t="shared" si="0"/>
        <v>0</v>
      </c>
      <c r="AW11" s="59" t="e">
        <f t="shared" si="1"/>
        <v>#DIV/0!</v>
      </c>
      <c r="AX11" s="59" t="e">
        <f t="shared" si="2"/>
        <v>#DIV/0!</v>
      </c>
      <c r="AY11" s="59"/>
      <c r="AZ11" s="5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</row>
    <row r="12" spans="1:65" s="3" customFormat="1" ht="14" customHeight="1" x14ac:dyDescent="0.2">
      <c r="A12" s="127"/>
      <c r="B12" s="77"/>
      <c r="C12" s="46"/>
      <c r="D12" s="46"/>
      <c r="E12" s="61" t="s">
        <v>167</v>
      </c>
      <c r="F12" s="61"/>
      <c r="G12" s="61"/>
      <c r="H12" s="61"/>
      <c r="I12" s="77"/>
      <c r="J12" s="46"/>
      <c r="K12" s="78"/>
      <c r="L12" s="239">
        <v>11</v>
      </c>
      <c r="M12" s="209"/>
      <c r="N12" s="229"/>
      <c r="O12" s="229"/>
      <c r="P12" s="229"/>
      <c r="Q12" s="117"/>
      <c r="R12" s="63"/>
      <c r="S12" s="60"/>
      <c r="T12" s="63"/>
      <c r="U12" s="63"/>
      <c r="V12" s="232"/>
      <c r="W12" s="63"/>
      <c r="X12" s="46"/>
      <c r="Y12" s="80"/>
      <c r="Z12" s="63"/>
      <c r="AA12" s="42"/>
      <c r="AB12" s="80"/>
      <c r="AC12" s="191"/>
      <c r="AD12" s="152"/>
      <c r="AE12" s="42"/>
      <c r="AF12" s="41"/>
      <c r="AG12" s="46" t="s">
        <v>97</v>
      </c>
      <c r="AH12" s="75" t="s">
        <v>177</v>
      </c>
      <c r="AI12" s="71">
        <v>6.25</v>
      </c>
      <c r="AJ12" s="39">
        <v>4260</v>
      </c>
      <c r="AK12" s="71">
        <v>4.4000000000000004</v>
      </c>
      <c r="AL12" s="39">
        <v>4440</v>
      </c>
      <c r="AM12" s="234"/>
      <c r="AN12" s="59"/>
      <c r="AO12" s="59"/>
      <c r="AP12" s="59"/>
      <c r="AQ12" s="234">
        <v>9</v>
      </c>
      <c r="AR12" s="234"/>
      <c r="AS12" s="234"/>
      <c r="AT12" s="234"/>
      <c r="AU12" s="234"/>
      <c r="AV12" s="59">
        <f t="shared" si="0"/>
        <v>0</v>
      </c>
      <c r="AW12" s="59" t="e">
        <f t="shared" si="1"/>
        <v>#DIV/0!</v>
      </c>
      <c r="AX12" s="59" t="e">
        <f t="shared" si="2"/>
        <v>#DIV/0!</v>
      </c>
      <c r="AY12" s="59"/>
      <c r="AZ12" s="5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</row>
    <row r="13" spans="1:65" s="3" customFormat="1" ht="14" customHeight="1" x14ac:dyDescent="0.2">
      <c r="A13" s="127"/>
      <c r="B13" s="77"/>
      <c r="C13" s="46"/>
      <c r="D13" s="46"/>
      <c r="E13" s="61"/>
      <c r="F13" s="61"/>
      <c r="G13" s="61"/>
      <c r="H13" s="61"/>
      <c r="I13" s="77"/>
      <c r="J13" s="46"/>
      <c r="K13" s="78"/>
      <c r="L13" s="239">
        <v>12</v>
      </c>
      <c r="M13" s="209"/>
      <c r="N13" s="229"/>
      <c r="O13" s="229"/>
      <c r="P13" s="229"/>
      <c r="Q13" s="117"/>
      <c r="R13" s="63"/>
      <c r="S13" s="60"/>
      <c r="T13" s="63"/>
      <c r="U13" s="63"/>
      <c r="V13" s="63"/>
      <c r="W13" s="63"/>
      <c r="X13" s="46"/>
      <c r="Y13" s="63"/>
      <c r="Z13" s="63"/>
      <c r="AA13" s="42"/>
      <c r="AB13" s="80"/>
      <c r="AC13" s="152"/>
      <c r="AD13" s="152"/>
      <c r="AE13" s="42"/>
      <c r="AF13" s="41"/>
      <c r="AG13" s="46" t="s">
        <v>234</v>
      </c>
      <c r="AH13" s="75" t="s">
        <v>176</v>
      </c>
      <c r="AI13" s="71">
        <v>5.41</v>
      </c>
      <c r="AJ13" s="39">
        <v>4540</v>
      </c>
      <c r="AK13" s="71">
        <v>4.47</v>
      </c>
      <c r="AL13" s="39">
        <v>4490</v>
      </c>
      <c r="AM13" s="19"/>
      <c r="AN13" s="19"/>
      <c r="AO13" s="19"/>
      <c r="AP13" s="19"/>
      <c r="AQ13" s="234"/>
      <c r="AR13" s="234"/>
      <c r="AS13" s="234"/>
      <c r="AT13" s="234"/>
      <c r="AU13" s="234"/>
      <c r="AV13" s="59"/>
      <c r="AW13" s="59"/>
      <c r="AX13" s="5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5" s="3" customFormat="1" ht="14" customHeight="1" x14ac:dyDescent="0.2">
      <c r="A14" s="127"/>
      <c r="B14" s="77"/>
      <c r="C14" s="46"/>
      <c r="D14" s="46"/>
      <c r="E14" s="61"/>
      <c r="F14" s="61"/>
      <c r="G14" s="61"/>
      <c r="H14" s="61"/>
      <c r="I14" s="77"/>
      <c r="J14" s="46"/>
      <c r="K14" s="74"/>
      <c r="L14" s="279">
        <v>13</v>
      </c>
      <c r="M14" s="280"/>
      <c r="N14" s="229"/>
      <c r="O14" s="229"/>
      <c r="P14" s="229"/>
      <c r="Q14" s="117"/>
      <c r="R14" s="63"/>
      <c r="S14" s="60"/>
      <c r="T14" s="63"/>
      <c r="U14" s="63"/>
      <c r="V14" s="63"/>
      <c r="W14" s="63"/>
      <c r="X14" s="46"/>
      <c r="Y14" s="63"/>
      <c r="Z14" s="63"/>
      <c r="AA14" s="42"/>
      <c r="AB14" s="80"/>
      <c r="AC14" s="152"/>
      <c r="AD14" s="152"/>
      <c r="AE14" s="42"/>
      <c r="AF14" s="41"/>
      <c r="AG14" s="46" t="s">
        <v>171</v>
      </c>
      <c r="AH14" s="75" t="s">
        <v>175</v>
      </c>
      <c r="AI14" s="71">
        <v>4.93</v>
      </c>
      <c r="AJ14" s="39">
        <v>4470</v>
      </c>
      <c r="AK14" s="71">
        <v>4.4000000000000004</v>
      </c>
      <c r="AL14" s="39">
        <v>4490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</row>
    <row r="15" spans="1:65" s="3" customFormat="1" ht="14" customHeight="1" x14ac:dyDescent="0.2">
      <c r="A15" s="127"/>
      <c r="B15" s="77"/>
      <c r="C15" s="46"/>
      <c r="D15" s="46"/>
      <c r="E15" s="61"/>
      <c r="F15" s="61"/>
      <c r="G15" s="61"/>
      <c r="H15" s="61"/>
      <c r="I15" s="77"/>
      <c r="J15" s="46"/>
      <c r="K15" s="74"/>
      <c r="L15" s="229"/>
      <c r="M15" s="281"/>
      <c r="N15" s="229"/>
      <c r="O15" s="229"/>
      <c r="P15" s="229"/>
      <c r="Q15" s="80"/>
      <c r="R15" s="63"/>
      <c r="S15" s="60"/>
      <c r="T15" s="63"/>
      <c r="U15" s="63"/>
      <c r="V15" s="63"/>
      <c r="W15" s="63"/>
      <c r="X15" s="63"/>
      <c r="Y15" s="63"/>
      <c r="Z15" s="63"/>
      <c r="AA15" s="42"/>
      <c r="AB15" s="80"/>
      <c r="AC15" s="152"/>
      <c r="AD15" s="152"/>
      <c r="AE15" s="42"/>
      <c r="AF15" s="41"/>
      <c r="AG15" s="46" t="s">
        <v>277</v>
      </c>
      <c r="AH15" s="75" t="s">
        <v>180</v>
      </c>
      <c r="AI15" s="71">
        <v>4.96</v>
      </c>
      <c r="AJ15" s="39">
        <v>4510</v>
      </c>
      <c r="AK15" s="71">
        <v>4.9000000000000004</v>
      </c>
      <c r="AL15" s="39">
        <v>4470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5" s="3" customFormat="1" ht="14" customHeight="1" x14ac:dyDescent="0.2">
      <c r="A16" s="127"/>
      <c r="B16" s="77"/>
      <c r="C16" s="46"/>
      <c r="D16" s="46"/>
      <c r="E16" s="61"/>
      <c r="F16" s="61"/>
      <c r="G16" s="61"/>
      <c r="H16" s="61"/>
      <c r="I16" s="77"/>
      <c r="J16" s="46"/>
      <c r="K16" s="74"/>
      <c r="L16" s="229"/>
      <c r="M16" s="282"/>
      <c r="N16" s="278"/>
      <c r="O16" s="274"/>
      <c r="P16" s="274"/>
      <c r="Q16" s="80"/>
      <c r="R16" s="63"/>
      <c r="S16" s="60"/>
      <c r="T16" s="63"/>
      <c r="U16" s="63"/>
      <c r="V16" s="63"/>
      <c r="W16" s="63"/>
      <c r="X16" s="63"/>
      <c r="Y16" s="63"/>
      <c r="Z16" s="63"/>
      <c r="AA16" s="42"/>
      <c r="AB16" s="80"/>
      <c r="AC16" s="152"/>
      <c r="AD16" s="152"/>
      <c r="AE16" s="42"/>
      <c r="AF16" s="41"/>
      <c r="AG16" s="46" t="s">
        <v>304</v>
      </c>
      <c r="AH16" s="75" t="s">
        <v>182</v>
      </c>
      <c r="AI16" s="71">
        <v>4.6500000000000004</v>
      </c>
      <c r="AJ16" s="39">
        <v>4420</v>
      </c>
      <c r="AK16" s="71">
        <v>4.72</v>
      </c>
      <c r="AL16" s="39">
        <v>4480</v>
      </c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</row>
    <row r="17" spans="1:65" s="3" customFormat="1" ht="14" customHeight="1" x14ac:dyDescent="0.2">
      <c r="A17" s="127"/>
      <c r="B17" s="77"/>
      <c r="C17" s="46"/>
      <c r="D17" s="46"/>
      <c r="E17" s="61"/>
      <c r="F17" s="61"/>
      <c r="G17" s="61"/>
      <c r="H17" s="61"/>
      <c r="I17" s="77"/>
      <c r="J17" s="46"/>
      <c r="K17" s="74"/>
      <c r="L17" s="229"/>
      <c r="M17" s="282"/>
      <c r="N17" s="278"/>
      <c r="O17" s="274"/>
      <c r="P17" s="274"/>
      <c r="Q17" s="80"/>
      <c r="R17" s="63"/>
      <c r="S17" s="60"/>
      <c r="T17" s="63"/>
      <c r="U17" s="63"/>
      <c r="V17" s="63"/>
      <c r="W17" s="63"/>
      <c r="X17" s="63"/>
      <c r="Y17" s="63"/>
      <c r="Z17" s="63"/>
      <c r="AA17" s="42"/>
      <c r="AB17" s="80"/>
      <c r="AC17" s="59"/>
      <c r="AD17" s="59"/>
      <c r="AE17" s="42"/>
      <c r="AF17" s="42"/>
      <c r="AG17" s="46"/>
      <c r="AH17" s="75"/>
      <c r="AI17" s="71"/>
      <c r="AJ17" s="39"/>
      <c r="AK17" s="71"/>
      <c r="AL17" s="3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</row>
    <row r="18" spans="1:65" s="3" customFormat="1" ht="14" customHeight="1" x14ac:dyDescent="0.2">
      <c r="A18" s="127"/>
      <c r="B18" s="77"/>
      <c r="C18" s="46"/>
      <c r="D18" s="46"/>
      <c r="E18" s="61"/>
      <c r="F18" s="61"/>
      <c r="G18" s="61"/>
      <c r="H18" s="61"/>
      <c r="I18" s="77"/>
      <c r="J18" s="46"/>
      <c r="K18" s="74"/>
      <c r="L18" s="229"/>
      <c r="M18" s="282"/>
      <c r="N18" s="278"/>
      <c r="O18" s="274"/>
      <c r="P18" s="274"/>
      <c r="Q18" s="80"/>
      <c r="R18" s="63"/>
      <c r="S18" s="60"/>
      <c r="T18" s="63"/>
      <c r="U18" s="63"/>
      <c r="V18" s="63"/>
      <c r="W18" s="63"/>
      <c r="X18" s="63"/>
      <c r="Y18" s="63"/>
      <c r="Z18" s="63"/>
      <c r="AA18" s="42"/>
      <c r="AB18" s="80"/>
      <c r="AC18" s="59"/>
      <c r="AD18" s="59"/>
      <c r="AE18" s="42"/>
      <c r="AF18" s="42"/>
      <c r="AG18" s="46"/>
      <c r="AH18" s="75"/>
      <c r="AI18" s="71"/>
      <c r="AJ18" s="39"/>
      <c r="AK18" s="71"/>
      <c r="AL18" s="3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</row>
    <row r="19" spans="1:65" s="3" customFormat="1" ht="14" customHeight="1" x14ac:dyDescent="0.2">
      <c r="A19" s="127"/>
      <c r="B19" s="77"/>
      <c r="C19" s="46"/>
      <c r="D19" s="46"/>
      <c r="E19" s="61"/>
      <c r="F19" s="61"/>
      <c r="G19" s="61"/>
      <c r="H19" s="61"/>
      <c r="I19" s="77"/>
      <c r="J19" s="46"/>
      <c r="K19" s="74"/>
      <c r="L19" s="229"/>
      <c r="M19" s="282"/>
      <c r="N19" s="278"/>
      <c r="O19" s="274"/>
      <c r="P19" s="274"/>
      <c r="Q19" s="80"/>
      <c r="R19" s="63"/>
      <c r="S19" s="60"/>
      <c r="T19" s="63"/>
      <c r="U19" s="63"/>
      <c r="V19" s="63"/>
      <c r="W19" s="63"/>
      <c r="X19" s="63"/>
      <c r="Y19" s="63"/>
      <c r="Z19" s="63"/>
      <c r="AA19" s="42"/>
      <c r="AB19" s="80"/>
      <c r="AC19" s="59"/>
      <c r="AD19" s="59"/>
      <c r="AE19" s="42"/>
      <c r="AF19" s="42"/>
      <c r="AG19" s="46"/>
      <c r="AH19" s="75"/>
      <c r="AI19" s="71"/>
      <c r="AJ19" s="39"/>
      <c r="AK19" s="71"/>
      <c r="AL19" s="3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1:65" s="3" customFormat="1" ht="14" customHeight="1" x14ac:dyDescent="0.2">
      <c r="A20" s="127"/>
      <c r="B20" s="77"/>
      <c r="C20" s="46"/>
      <c r="D20" s="46"/>
      <c r="E20" s="61"/>
      <c r="F20" s="61"/>
      <c r="G20" s="61"/>
      <c r="H20" s="61"/>
      <c r="I20" s="77"/>
      <c r="J20" s="46"/>
      <c r="K20" s="74"/>
      <c r="L20" s="229"/>
      <c r="M20" s="282"/>
      <c r="N20" s="278"/>
      <c r="O20" s="274"/>
      <c r="P20" s="274"/>
      <c r="Q20" s="80"/>
      <c r="R20" s="63"/>
      <c r="S20" s="60"/>
      <c r="T20" s="63"/>
      <c r="U20" s="63"/>
      <c r="V20" s="63"/>
      <c r="W20" s="63"/>
      <c r="X20" s="63"/>
      <c r="Y20" s="63"/>
      <c r="Z20" s="63"/>
      <c r="AA20" s="42"/>
      <c r="AB20" s="80"/>
      <c r="AC20" s="59"/>
      <c r="AD20" s="59"/>
      <c r="AE20" s="42"/>
      <c r="AF20" s="42"/>
      <c r="AG20" s="46"/>
      <c r="AH20" s="75"/>
      <c r="AI20" s="71"/>
      <c r="AJ20" s="39"/>
      <c r="AK20" s="71"/>
      <c r="AL20" s="3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</row>
    <row r="21" spans="1:65" s="3" customFormat="1" ht="14" customHeight="1" x14ac:dyDescent="0.2">
      <c r="A21" s="127"/>
      <c r="B21" s="77"/>
      <c r="C21" s="46"/>
      <c r="D21" s="46"/>
      <c r="E21" s="61"/>
      <c r="F21" s="61"/>
      <c r="G21" s="61"/>
      <c r="H21" s="61"/>
      <c r="I21" s="77"/>
      <c r="J21" s="46"/>
      <c r="K21" s="74"/>
      <c r="L21" s="229"/>
      <c r="M21" s="282"/>
      <c r="N21" s="278"/>
      <c r="O21" s="274"/>
      <c r="P21" s="274"/>
      <c r="Q21" s="80"/>
      <c r="R21" s="63"/>
      <c r="S21" s="60"/>
      <c r="T21" s="63"/>
      <c r="U21" s="63"/>
      <c r="V21" s="63"/>
      <c r="W21" s="63"/>
      <c r="X21" s="63"/>
      <c r="Y21" s="63"/>
      <c r="Z21" s="63"/>
      <c r="AA21" s="42"/>
      <c r="AB21" s="80"/>
      <c r="AC21" s="59"/>
      <c r="AD21" s="59"/>
      <c r="AE21" s="42"/>
      <c r="AF21" s="42"/>
      <c r="AG21" s="46"/>
      <c r="AH21" s="75"/>
      <c r="AI21" s="71"/>
      <c r="AJ21" s="39"/>
      <c r="AK21" s="71"/>
      <c r="AL21" s="3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1:65" s="3" customFormat="1" ht="14" customHeight="1" x14ac:dyDescent="0.2">
      <c r="A22" s="127"/>
      <c r="B22" s="77"/>
      <c r="C22" s="46"/>
      <c r="D22" s="46"/>
      <c r="E22" s="61"/>
      <c r="F22" s="61"/>
      <c r="G22" s="61"/>
      <c r="H22" s="61"/>
      <c r="I22" s="77"/>
      <c r="J22" s="46"/>
      <c r="K22" s="74"/>
      <c r="L22" s="229"/>
      <c r="M22" s="229"/>
      <c r="N22" s="229"/>
      <c r="O22" s="229"/>
      <c r="P22" s="229"/>
      <c r="Q22" s="80"/>
      <c r="R22" s="63"/>
      <c r="S22" s="60"/>
      <c r="T22" s="63"/>
      <c r="U22" s="63"/>
      <c r="V22" s="63"/>
      <c r="W22" s="63"/>
      <c r="X22" s="63"/>
      <c r="Y22" s="63"/>
      <c r="Z22" s="63"/>
      <c r="AA22" s="42"/>
      <c r="AB22" s="80"/>
      <c r="AC22" s="59"/>
      <c r="AD22" s="59"/>
      <c r="AE22" s="42"/>
      <c r="AF22" s="42"/>
      <c r="AG22" s="46"/>
      <c r="AH22" s="75"/>
      <c r="AI22" s="119"/>
      <c r="AJ22" s="86"/>
      <c r="AK22" s="123"/>
      <c r="AL22" s="86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</row>
    <row r="23" spans="1:65" s="3" customFormat="1" ht="14" customHeight="1" x14ac:dyDescent="0.2">
      <c r="A23" s="127"/>
      <c r="B23" s="77"/>
      <c r="C23" s="46"/>
      <c r="D23" s="46"/>
      <c r="E23" s="61"/>
      <c r="F23" s="61"/>
      <c r="G23" s="61"/>
      <c r="H23" s="61"/>
      <c r="I23" s="77"/>
      <c r="J23" s="46"/>
      <c r="K23" s="74"/>
      <c r="L23" s="229"/>
      <c r="M23" s="229"/>
      <c r="N23" s="229"/>
      <c r="O23" s="229"/>
      <c r="P23" s="229"/>
      <c r="Q23" s="80"/>
      <c r="R23" s="63"/>
      <c r="S23" s="60"/>
      <c r="T23" s="63"/>
      <c r="U23" s="63"/>
      <c r="V23" s="63"/>
      <c r="W23" s="63"/>
      <c r="X23" s="63"/>
      <c r="Y23" s="63"/>
      <c r="Z23" s="63"/>
      <c r="AA23" s="42"/>
      <c r="AB23" s="80"/>
      <c r="AC23" s="59"/>
      <c r="AD23" s="59"/>
      <c r="AE23" s="42"/>
      <c r="AF23" s="42"/>
      <c r="AG23" s="75"/>
      <c r="AH23" s="75"/>
      <c r="AI23" s="119"/>
      <c r="AJ23" s="86"/>
      <c r="AK23" s="123"/>
      <c r="AL23" s="86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1:65" s="3" customFormat="1" ht="14" customHeight="1" x14ac:dyDescent="0.2">
      <c r="A24" s="127"/>
      <c r="B24" s="77"/>
      <c r="C24" s="46"/>
      <c r="D24" s="46"/>
      <c r="E24" s="61"/>
      <c r="F24" s="61"/>
      <c r="G24" s="61"/>
      <c r="H24" s="61"/>
      <c r="I24" s="77"/>
      <c r="J24" s="46"/>
      <c r="K24" s="74"/>
      <c r="L24" s="229"/>
      <c r="M24" s="229"/>
      <c r="N24" s="229"/>
      <c r="O24" s="229"/>
      <c r="P24" s="229"/>
      <c r="Q24" s="80"/>
      <c r="R24" s="63"/>
      <c r="S24" s="60"/>
      <c r="T24" s="63"/>
      <c r="U24" s="63"/>
      <c r="V24" s="63"/>
      <c r="W24" s="63"/>
      <c r="X24" s="63"/>
      <c r="Y24" s="63"/>
      <c r="Z24" s="63"/>
      <c r="AA24" s="42"/>
      <c r="AB24" s="80"/>
      <c r="AC24" s="59"/>
      <c r="AD24" s="59"/>
      <c r="AE24" s="42"/>
      <c r="AF24" s="42"/>
      <c r="AG24" s="75"/>
      <c r="AH24" s="75"/>
      <c r="AI24" s="119"/>
      <c r="AJ24" s="86"/>
      <c r="AK24" s="123"/>
      <c r="AL24" s="86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</row>
    <row r="25" spans="1:65" s="3" customFormat="1" x14ac:dyDescent="0.2">
      <c r="A25" s="127"/>
      <c r="B25" s="46" t="s">
        <v>13</v>
      </c>
      <c r="C25" s="46"/>
      <c r="D25" s="46"/>
      <c r="E25" s="46"/>
      <c r="F25" s="46"/>
      <c r="G25" s="46"/>
      <c r="H25" s="46"/>
      <c r="I25" s="77"/>
      <c r="J25" s="46"/>
      <c r="K25" s="74"/>
      <c r="L25" s="157"/>
      <c r="M25" s="81" t="s">
        <v>28</v>
      </c>
      <c r="N25" s="75" t="s">
        <v>36</v>
      </c>
      <c r="O25" s="75"/>
      <c r="P25" s="63"/>
      <c r="Q25" s="80"/>
      <c r="R25" s="63"/>
      <c r="S25" s="60"/>
      <c r="T25" s="63"/>
      <c r="U25" s="63"/>
      <c r="V25" s="63"/>
      <c r="W25" s="63"/>
      <c r="X25" s="63"/>
      <c r="Y25" s="63"/>
      <c r="Z25" s="63"/>
      <c r="AA25" s="59"/>
      <c r="AB25" s="80"/>
      <c r="AC25" s="66" t="s">
        <v>31</v>
      </c>
      <c r="AD25" s="59"/>
      <c r="AE25" s="66">
        <v>671</v>
      </c>
      <c r="AF25" s="59"/>
      <c r="AG25" s="81"/>
      <c r="AH25" s="75"/>
      <c r="AI25" s="120" t="s">
        <v>27</v>
      </c>
      <c r="AJ25" s="87"/>
      <c r="AK25" s="119"/>
      <c r="AL25" s="86"/>
      <c r="AM25" s="325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1:65" s="13" customFormat="1" ht="43" customHeight="1" x14ac:dyDescent="0.2">
      <c r="A26" s="43"/>
      <c r="B26" s="48" t="s">
        <v>9</v>
      </c>
      <c r="C26" s="49" t="s">
        <v>240</v>
      </c>
      <c r="D26" s="49" t="s">
        <v>44</v>
      </c>
      <c r="E26" s="49" t="s">
        <v>17</v>
      </c>
      <c r="F26" s="49" t="s">
        <v>22</v>
      </c>
      <c r="G26" s="49" t="s">
        <v>87</v>
      </c>
      <c r="H26" s="49" t="s">
        <v>241</v>
      </c>
      <c r="I26" s="48" t="s">
        <v>60</v>
      </c>
      <c r="J26" s="49" t="s">
        <v>10</v>
      </c>
      <c r="K26" s="50" t="s">
        <v>33</v>
      </c>
      <c r="L26" s="49" t="s">
        <v>11</v>
      </c>
      <c r="M26" s="55" t="s">
        <v>29</v>
      </c>
      <c r="N26" s="56" t="s">
        <v>30</v>
      </c>
      <c r="O26" s="56" t="s">
        <v>34</v>
      </c>
      <c r="P26" s="53" t="s">
        <v>37</v>
      </c>
      <c r="Q26" s="52" t="s">
        <v>16</v>
      </c>
      <c r="R26" s="53" t="s">
        <v>35</v>
      </c>
      <c r="S26" s="54" t="s">
        <v>21</v>
      </c>
      <c r="T26" s="53" t="s">
        <v>7</v>
      </c>
      <c r="U26" s="53" t="s">
        <v>18</v>
      </c>
      <c r="V26" s="53" t="s">
        <v>8</v>
      </c>
      <c r="W26" s="53" t="s">
        <v>20</v>
      </c>
      <c r="X26" s="53" t="s">
        <v>19</v>
      </c>
      <c r="Y26" s="53" t="s">
        <v>123</v>
      </c>
      <c r="Z26" s="53" t="s">
        <v>124</v>
      </c>
      <c r="AA26" s="58" t="s">
        <v>83</v>
      </c>
      <c r="AB26" s="90" t="s">
        <v>60</v>
      </c>
      <c r="AC26" s="57" t="s">
        <v>32</v>
      </c>
      <c r="AD26" s="58">
        <v>457</v>
      </c>
      <c r="AE26" s="58" t="s">
        <v>49</v>
      </c>
      <c r="AF26" s="58" t="s">
        <v>62</v>
      </c>
      <c r="AG26" s="215" t="s">
        <v>80</v>
      </c>
      <c r="AH26" s="51" t="s">
        <v>81</v>
      </c>
      <c r="AI26" s="147" t="s">
        <v>56</v>
      </c>
      <c r="AJ26" s="148" t="s">
        <v>55</v>
      </c>
      <c r="AK26" s="147" t="s">
        <v>57</v>
      </c>
      <c r="AL26" s="148" t="s">
        <v>58</v>
      </c>
      <c r="AM26" s="326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</row>
    <row r="27" spans="1:65" s="13" customFormat="1" ht="15" customHeight="1" x14ac:dyDescent="0.2">
      <c r="A27" s="251"/>
      <c r="B27" s="251" t="s">
        <v>63</v>
      </c>
      <c r="C27" s="132"/>
      <c r="D27" s="132"/>
      <c r="E27" s="132"/>
      <c r="F27" s="132"/>
      <c r="G27" s="132"/>
      <c r="H27" s="132"/>
      <c r="I27" s="131"/>
      <c r="J27" s="132"/>
      <c r="K27" s="133"/>
      <c r="L27" s="132"/>
      <c r="M27" s="142">
        <v>20</v>
      </c>
      <c r="N27" s="143">
        <v>21.5</v>
      </c>
      <c r="O27" s="143"/>
      <c r="P27" s="140"/>
      <c r="Q27" s="251" t="s">
        <v>63</v>
      </c>
      <c r="R27" s="216" t="s">
        <v>7</v>
      </c>
      <c r="S27" s="216">
        <v>0.15</v>
      </c>
      <c r="T27" s="252">
        <v>25.25</v>
      </c>
      <c r="U27" s="252">
        <v>55</v>
      </c>
      <c r="V27" s="252">
        <v>69</v>
      </c>
      <c r="W27" s="252">
        <v>50.85</v>
      </c>
      <c r="X27" s="252">
        <v>66.349999999999994</v>
      </c>
      <c r="Y27" s="252" t="s">
        <v>98</v>
      </c>
      <c r="Z27" s="252" t="s">
        <v>98</v>
      </c>
      <c r="AA27" s="254">
        <v>53.75</v>
      </c>
      <c r="AB27" s="141"/>
      <c r="AC27" s="144">
        <v>108</v>
      </c>
      <c r="AD27" s="145" t="s">
        <v>38</v>
      </c>
      <c r="AE27" s="146">
        <v>1.64</v>
      </c>
      <c r="AF27" s="146">
        <v>6.92</v>
      </c>
      <c r="AG27" s="213"/>
      <c r="AH27" s="134"/>
      <c r="AI27" s="137">
        <v>4.58</v>
      </c>
      <c r="AJ27" s="138">
        <v>6740</v>
      </c>
      <c r="AK27" s="137">
        <v>4.42</v>
      </c>
      <c r="AL27" s="138">
        <v>4140</v>
      </c>
      <c r="AM27" s="326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</row>
    <row r="28" spans="1:65" s="13" customFormat="1" ht="15" customHeight="1" x14ac:dyDescent="0.2">
      <c r="A28" s="251"/>
      <c r="B28" s="251" t="s">
        <v>64</v>
      </c>
      <c r="C28" s="132"/>
      <c r="D28" s="132"/>
      <c r="E28" s="132"/>
      <c r="F28" s="132"/>
      <c r="G28" s="132"/>
      <c r="H28" s="132"/>
      <c r="I28" s="131"/>
      <c r="J28" s="132"/>
      <c r="K28" s="133"/>
      <c r="L28" s="132"/>
      <c r="M28" s="142">
        <v>20</v>
      </c>
      <c r="N28" s="143">
        <v>21.5</v>
      </c>
      <c r="O28" s="143"/>
      <c r="P28" s="140"/>
      <c r="Q28" s="251" t="s">
        <v>64</v>
      </c>
      <c r="R28" s="216" t="s">
        <v>7</v>
      </c>
      <c r="S28" s="252">
        <v>0.15</v>
      </c>
      <c r="T28" s="252">
        <v>24.25</v>
      </c>
      <c r="U28" s="252">
        <v>48.15</v>
      </c>
      <c r="V28" s="252">
        <v>60.35</v>
      </c>
      <c r="W28" s="252">
        <v>50.85</v>
      </c>
      <c r="X28" s="252">
        <v>69.650000000000006</v>
      </c>
      <c r="Y28" s="252" t="s">
        <v>98</v>
      </c>
      <c r="Z28" s="252" t="s">
        <v>98</v>
      </c>
      <c r="AA28" s="254">
        <v>53.75</v>
      </c>
      <c r="AB28" s="141"/>
      <c r="AC28" s="144">
        <v>108</v>
      </c>
      <c r="AD28" s="145" t="s">
        <v>38</v>
      </c>
      <c r="AE28" s="146">
        <v>1.64</v>
      </c>
      <c r="AF28" s="146">
        <v>6.92</v>
      </c>
      <c r="AG28" s="213"/>
      <c r="AH28" s="134"/>
      <c r="AI28" s="137"/>
      <c r="AJ28" s="138"/>
      <c r="AK28" s="137"/>
      <c r="AL28" s="138"/>
      <c r="AM28" s="326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</row>
    <row r="29" spans="1:65" s="13" customFormat="1" ht="15" customHeight="1" x14ac:dyDescent="0.2">
      <c r="A29" s="139"/>
      <c r="B29" s="139" t="s">
        <v>65</v>
      </c>
      <c r="C29" s="132"/>
      <c r="D29" s="132"/>
      <c r="E29" s="132"/>
      <c r="F29" s="132"/>
      <c r="G29" s="132"/>
      <c r="H29" s="132"/>
      <c r="I29" s="131"/>
      <c r="J29" s="132"/>
      <c r="K29" s="133"/>
      <c r="L29" s="132"/>
      <c r="M29" s="142">
        <v>20</v>
      </c>
      <c r="N29" s="143">
        <v>21.5</v>
      </c>
      <c r="O29" s="143"/>
      <c r="P29" s="140"/>
      <c r="Q29" s="36" t="s">
        <v>65</v>
      </c>
      <c r="R29" s="63" t="s">
        <v>7</v>
      </c>
      <c r="S29" s="37">
        <v>0.15</v>
      </c>
      <c r="T29" s="37">
        <v>25.25</v>
      </c>
      <c r="U29" s="37">
        <v>55</v>
      </c>
      <c r="V29" s="37">
        <v>69</v>
      </c>
      <c r="W29" s="37">
        <v>50.85</v>
      </c>
      <c r="X29" s="37">
        <v>66.349999999999994</v>
      </c>
      <c r="Y29" s="37" t="s">
        <v>98</v>
      </c>
      <c r="Z29" s="37" t="s">
        <v>98</v>
      </c>
      <c r="AA29" s="59">
        <v>73</v>
      </c>
      <c r="AB29" s="141"/>
      <c r="AC29" s="65">
        <v>108</v>
      </c>
      <c r="AD29" s="42" t="s">
        <v>38</v>
      </c>
      <c r="AE29" s="59">
        <v>1.64</v>
      </c>
      <c r="AF29" s="59">
        <v>6.92</v>
      </c>
      <c r="AG29" s="213"/>
      <c r="AH29" s="134"/>
      <c r="AI29" s="137"/>
      <c r="AJ29" s="138"/>
      <c r="AK29" s="137"/>
      <c r="AL29" s="138"/>
      <c r="AM29" s="326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</row>
    <row r="30" spans="1:65" s="13" customFormat="1" ht="15" customHeight="1" x14ac:dyDescent="0.2">
      <c r="A30" s="139"/>
      <c r="B30" s="139" t="s">
        <v>66</v>
      </c>
      <c r="C30" s="132"/>
      <c r="D30" s="132"/>
      <c r="E30" s="132"/>
      <c r="F30" s="132"/>
      <c r="G30" s="132"/>
      <c r="H30" s="132"/>
      <c r="I30" s="131"/>
      <c r="J30" s="132"/>
      <c r="K30" s="133"/>
      <c r="L30" s="132"/>
      <c r="M30" s="142">
        <v>20</v>
      </c>
      <c r="N30" s="143">
        <v>21.5</v>
      </c>
      <c r="O30" s="143"/>
      <c r="P30" s="140"/>
      <c r="Q30" s="36" t="s">
        <v>66</v>
      </c>
      <c r="R30" s="63" t="s">
        <v>7</v>
      </c>
      <c r="S30" s="37">
        <v>0.15</v>
      </c>
      <c r="T30" s="37">
        <v>24.25</v>
      </c>
      <c r="U30" s="37">
        <v>48.15</v>
      </c>
      <c r="V30" s="37">
        <v>60.35</v>
      </c>
      <c r="W30" s="37">
        <v>50.85</v>
      </c>
      <c r="X30" s="37">
        <v>69.650000000000006</v>
      </c>
      <c r="Y30" s="37" t="s">
        <v>98</v>
      </c>
      <c r="Z30" s="37" t="s">
        <v>98</v>
      </c>
      <c r="AA30" s="63">
        <v>60.8</v>
      </c>
      <c r="AB30" s="141"/>
      <c r="AC30" s="65">
        <v>108</v>
      </c>
      <c r="AD30" s="42" t="s">
        <v>38</v>
      </c>
      <c r="AE30" s="63">
        <v>1.64</v>
      </c>
      <c r="AF30" s="63">
        <v>6.92</v>
      </c>
      <c r="AG30" s="213"/>
      <c r="AH30" s="134"/>
      <c r="AI30" s="135"/>
      <c r="AJ30" s="136"/>
      <c r="AK30" s="135"/>
      <c r="AL30" s="136"/>
      <c r="AM30" s="326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</row>
    <row r="31" spans="1:65" x14ac:dyDescent="0.2">
      <c r="A31" s="188"/>
      <c r="B31" s="188" t="s">
        <v>74</v>
      </c>
      <c r="C31" s="59"/>
      <c r="D31" s="60"/>
      <c r="E31" s="61"/>
      <c r="F31" s="61"/>
      <c r="G31" s="46"/>
      <c r="H31" s="46"/>
      <c r="I31" s="77"/>
      <c r="J31" s="34"/>
      <c r="K31" s="34"/>
      <c r="L31" s="35"/>
      <c r="M31" s="190">
        <v>20</v>
      </c>
      <c r="N31" s="143">
        <v>21.5</v>
      </c>
      <c r="O31" s="64"/>
      <c r="P31" s="37"/>
      <c r="Q31" s="36" t="s">
        <v>74</v>
      </c>
      <c r="R31" s="63" t="s">
        <v>7</v>
      </c>
      <c r="S31" s="63">
        <v>0.15</v>
      </c>
      <c r="T31" s="37">
        <v>21.85</v>
      </c>
      <c r="U31" s="37">
        <v>48.15</v>
      </c>
      <c r="V31" s="37">
        <v>58.75</v>
      </c>
      <c r="W31" s="37">
        <v>50.85</v>
      </c>
      <c r="X31" s="37">
        <v>55</v>
      </c>
      <c r="Y31" s="37" t="s">
        <v>98</v>
      </c>
      <c r="Z31" s="37" t="s">
        <v>98</v>
      </c>
      <c r="AA31" s="42">
        <v>60.8</v>
      </c>
      <c r="AB31" s="189"/>
      <c r="AC31" s="65">
        <v>108</v>
      </c>
      <c r="AD31" s="42" t="s">
        <v>38</v>
      </c>
      <c r="AE31" s="42">
        <v>1.64</v>
      </c>
      <c r="AF31" s="42">
        <v>6.92</v>
      </c>
      <c r="AG31" s="214"/>
      <c r="AH31" s="62"/>
      <c r="AI31" s="124"/>
      <c r="AJ31" s="125"/>
      <c r="AK31" s="124"/>
      <c r="AL31" s="125"/>
      <c r="AM31" s="327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</row>
    <row r="32" spans="1:65" x14ac:dyDescent="0.2">
      <c r="A32" s="251"/>
      <c r="B32" s="251" t="s">
        <v>110</v>
      </c>
      <c r="C32" s="59"/>
      <c r="D32" s="60"/>
      <c r="E32" s="61"/>
      <c r="F32" s="61"/>
      <c r="G32" s="46"/>
      <c r="H32" s="46"/>
      <c r="I32" s="77"/>
      <c r="J32" s="34"/>
      <c r="K32" s="34"/>
      <c r="L32" s="35"/>
      <c r="M32" s="38"/>
      <c r="N32" s="64"/>
      <c r="O32" s="64"/>
      <c r="P32" s="37"/>
      <c r="Q32" s="36" t="s">
        <v>110</v>
      </c>
      <c r="R32" s="63" t="s">
        <v>7</v>
      </c>
      <c r="S32" s="37">
        <v>0.15</v>
      </c>
      <c r="T32" s="37">
        <v>22.15</v>
      </c>
      <c r="U32" s="37">
        <v>40.9</v>
      </c>
      <c r="V32" s="37">
        <v>63.4</v>
      </c>
      <c r="W32" s="37">
        <v>50.85</v>
      </c>
      <c r="X32" s="37">
        <v>50.45</v>
      </c>
      <c r="Y32" s="37" t="s">
        <v>98</v>
      </c>
      <c r="Z32" s="37" t="s">
        <v>98</v>
      </c>
      <c r="AA32" s="42"/>
      <c r="AB32" s="255"/>
      <c r="AC32" s="65">
        <v>108</v>
      </c>
      <c r="AD32" s="42" t="s">
        <v>38</v>
      </c>
      <c r="AE32" s="59" t="s">
        <v>98</v>
      </c>
      <c r="AF32" s="59" t="s">
        <v>98</v>
      </c>
      <c r="AG32" s="214"/>
      <c r="AH32" s="62"/>
      <c r="AI32" s="71"/>
      <c r="AJ32" s="39"/>
      <c r="AK32" s="71"/>
      <c r="AL32" s="39"/>
      <c r="AM32" s="327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</row>
    <row r="33" spans="1:65" x14ac:dyDescent="0.2">
      <c r="A33" s="139"/>
      <c r="B33" s="139" t="s">
        <v>113</v>
      </c>
      <c r="C33" s="59"/>
      <c r="D33" s="59"/>
      <c r="E33" s="61"/>
      <c r="F33" s="46"/>
      <c r="G33" s="46"/>
      <c r="H33" s="46"/>
      <c r="I33" s="77"/>
      <c r="J33" s="34"/>
      <c r="K33" s="34"/>
      <c r="L33" s="35"/>
      <c r="M33" s="38"/>
      <c r="N33" s="64"/>
      <c r="O33" s="64"/>
      <c r="P33" s="37"/>
      <c r="Q33" s="36" t="s">
        <v>113</v>
      </c>
      <c r="R33" s="63" t="s">
        <v>112</v>
      </c>
      <c r="S33" s="37">
        <v>0.15</v>
      </c>
      <c r="T33" s="37">
        <v>31.65</v>
      </c>
      <c r="U33" s="37">
        <v>57.6</v>
      </c>
      <c r="V33" s="37">
        <v>68.650000000000006</v>
      </c>
      <c r="W33" s="37">
        <v>48</v>
      </c>
      <c r="X33" s="37">
        <v>43.65</v>
      </c>
      <c r="Y33" s="37" t="s">
        <v>98</v>
      </c>
      <c r="Z33" s="37" t="s">
        <v>98</v>
      </c>
      <c r="AA33" s="42" t="s">
        <v>98</v>
      </c>
      <c r="AB33" s="80"/>
      <c r="AC33" s="65">
        <v>108</v>
      </c>
      <c r="AD33" s="145" t="s">
        <v>38</v>
      </c>
      <c r="AE33" s="59" t="s">
        <v>98</v>
      </c>
      <c r="AF33" s="59" t="s">
        <v>98</v>
      </c>
      <c r="AG33" s="214"/>
      <c r="AH33" s="62"/>
      <c r="AI33" s="71"/>
      <c r="AJ33" s="39"/>
      <c r="AK33" s="71"/>
      <c r="AL33" s="39"/>
      <c r="AM33" s="327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</row>
    <row r="34" spans="1:65" x14ac:dyDescent="0.2">
      <c r="A34" s="251"/>
      <c r="B34" s="251" t="s">
        <v>114</v>
      </c>
      <c r="C34" s="59"/>
      <c r="D34" s="60"/>
      <c r="E34" s="61"/>
      <c r="F34" s="61"/>
      <c r="G34" s="46"/>
      <c r="H34" s="46"/>
      <c r="I34" s="77"/>
      <c r="J34" s="34"/>
      <c r="K34" s="34"/>
      <c r="L34" s="35"/>
      <c r="M34" s="38"/>
      <c r="N34" s="64"/>
      <c r="O34" s="64"/>
      <c r="P34" s="37"/>
      <c r="Q34" s="304" t="s">
        <v>114</v>
      </c>
      <c r="R34" s="305" t="s">
        <v>112</v>
      </c>
      <c r="S34" s="306">
        <v>0.1</v>
      </c>
      <c r="T34" s="306">
        <v>31.65</v>
      </c>
      <c r="U34" s="306">
        <v>57.6</v>
      </c>
      <c r="V34" s="306">
        <v>68.650000000000006</v>
      </c>
      <c r="W34" s="306">
        <v>48</v>
      </c>
      <c r="X34" s="306">
        <v>43.65</v>
      </c>
      <c r="Y34" s="306" t="s">
        <v>98</v>
      </c>
      <c r="Z34" s="306" t="s">
        <v>98</v>
      </c>
      <c r="AA34" s="310"/>
      <c r="AB34" s="308"/>
      <c r="AC34" s="309">
        <v>108</v>
      </c>
      <c r="AD34" s="310" t="s">
        <v>38</v>
      </c>
      <c r="AE34" s="307" t="s">
        <v>98</v>
      </c>
      <c r="AF34" s="307" t="s">
        <v>98</v>
      </c>
      <c r="AG34" s="214"/>
      <c r="AH34" s="62"/>
      <c r="AI34" s="71"/>
      <c r="AJ34" s="39"/>
      <c r="AK34" s="71"/>
      <c r="AL34" s="39"/>
      <c r="AM34" s="327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</row>
    <row r="35" spans="1:65" x14ac:dyDescent="0.2">
      <c r="A35" s="33"/>
      <c r="B35" s="33"/>
      <c r="C35" s="59"/>
      <c r="D35" s="60"/>
      <c r="E35" s="61"/>
      <c r="F35" s="61"/>
      <c r="G35" s="46"/>
      <c r="H35" s="46"/>
      <c r="I35" s="77"/>
      <c r="J35" s="34"/>
      <c r="K35" s="34"/>
      <c r="L35" s="67"/>
      <c r="M35" s="38"/>
      <c r="N35" s="64"/>
      <c r="O35" s="64"/>
      <c r="P35" s="37"/>
      <c r="Q35" s="36" t="s">
        <v>120</v>
      </c>
      <c r="R35" s="63" t="s">
        <v>7</v>
      </c>
      <c r="S35" s="63">
        <v>0.05</v>
      </c>
      <c r="T35" s="37">
        <v>23</v>
      </c>
      <c r="U35" s="37">
        <v>32.049999999999997</v>
      </c>
      <c r="V35" s="37">
        <v>63.4</v>
      </c>
      <c r="W35" s="37">
        <v>50.85</v>
      </c>
      <c r="X35" s="37">
        <v>49.8</v>
      </c>
      <c r="Y35" s="37">
        <v>61.3</v>
      </c>
      <c r="Z35" s="37">
        <v>46.35</v>
      </c>
      <c r="AA35" s="59">
        <v>53.75</v>
      </c>
      <c r="AB35" s="80"/>
      <c r="AC35" s="65">
        <v>108</v>
      </c>
      <c r="AD35" s="42" t="s">
        <v>38</v>
      </c>
      <c r="AE35" s="42">
        <v>1.64</v>
      </c>
      <c r="AF35" s="42">
        <v>6.92</v>
      </c>
      <c r="AG35" s="214"/>
      <c r="AH35" s="62"/>
      <c r="AI35" s="71"/>
      <c r="AJ35" s="39"/>
      <c r="AK35" s="71"/>
      <c r="AL35" s="39"/>
      <c r="AM35" s="327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</row>
    <row r="36" spans="1:65" x14ac:dyDescent="0.2">
      <c r="A36" s="33"/>
      <c r="B36" s="33" t="str">
        <f>CONCATENATE(C36,"-",D36,"-",$E36,"-",F36,,"-",G36,"-",H36)</f>
        <v>-----</v>
      </c>
      <c r="C36" s="59"/>
      <c r="D36" s="60"/>
      <c r="E36" s="61"/>
      <c r="F36" s="61"/>
      <c r="G36" s="46"/>
      <c r="H36" s="46"/>
      <c r="I36" s="77"/>
      <c r="J36" s="34"/>
      <c r="K36" s="34"/>
      <c r="L36" s="35"/>
      <c r="M36" s="38"/>
      <c r="N36" s="64"/>
      <c r="O36" s="64"/>
      <c r="P36" s="37"/>
      <c r="Q36" s="304" t="s">
        <v>222</v>
      </c>
      <c r="R36" s="305" t="s">
        <v>7</v>
      </c>
      <c r="S36" s="305">
        <v>0.15</v>
      </c>
      <c r="T36" s="306">
        <v>22.15</v>
      </c>
      <c r="U36" s="306">
        <v>40.9</v>
      </c>
      <c r="V36" s="306">
        <v>60.8</v>
      </c>
      <c r="W36" s="306">
        <v>50.85</v>
      </c>
      <c r="X36" s="306">
        <v>43.6</v>
      </c>
      <c r="Y36" s="306" t="s">
        <v>98</v>
      </c>
      <c r="Z36" s="306" t="s">
        <v>98</v>
      </c>
      <c r="AA36" s="307" t="s">
        <v>98</v>
      </c>
      <c r="AB36" s="308"/>
      <c r="AC36" s="309">
        <v>108</v>
      </c>
      <c r="AD36" s="310" t="s">
        <v>38</v>
      </c>
      <c r="AE36" s="307" t="s">
        <v>98</v>
      </c>
      <c r="AF36" s="307" t="s">
        <v>98</v>
      </c>
      <c r="AG36" s="214"/>
      <c r="AH36" s="62"/>
      <c r="AI36" s="71"/>
      <c r="AJ36" s="39"/>
      <c r="AK36" s="71"/>
      <c r="AL36" s="39"/>
      <c r="AM36" s="327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</row>
    <row r="37" spans="1:65" x14ac:dyDescent="0.2">
      <c r="A37" s="33"/>
      <c r="B37" s="33" t="str">
        <f t="shared" ref="B37:B100" si="3">CONCATENATE(C37,"-",D37,"-",$E37,"-",F37,,"-",G37,"-",H37)</f>
        <v>BDS--3-LASER--</v>
      </c>
      <c r="C37" s="59" t="s">
        <v>52</v>
      </c>
      <c r="D37" s="59"/>
      <c r="E37" s="61" t="s">
        <v>59</v>
      </c>
      <c r="F37" s="46" t="s">
        <v>121</v>
      </c>
      <c r="G37" s="46"/>
      <c r="H37" s="46"/>
      <c r="I37" s="77"/>
      <c r="J37" s="34"/>
      <c r="K37" s="34"/>
      <c r="L37" s="35"/>
      <c r="M37" s="38"/>
      <c r="N37" s="64"/>
      <c r="O37" s="64"/>
      <c r="P37" s="37"/>
      <c r="Q37" s="304" t="s">
        <v>226</v>
      </c>
      <c r="R37" s="305" t="s">
        <v>7</v>
      </c>
      <c r="S37" s="305">
        <v>0.15</v>
      </c>
      <c r="T37" s="306">
        <v>22.15</v>
      </c>
      <c r="U37" s="306">
        <v>40.9</v>
      </c>
      <c r="V37" s="306">
        <v>57.9</v>
      </c>
      <c r="W37" s="306">
        <v>50.85</v>
      </c>
      <c r="X37" s="306">
        <v>43.6</v>
      </c>
      <c r="Y37" s="306" t="s">
        <v>98</v>
      </c>
      <c r="Z37" s="306" t="s">
        <v>98</v>
      </c>
      <c r="AA37" s="307" t="s">
        <v>98</v>
      </c>
      <c r="AB37" s="308"/>
      <c r="AC37" s="309">
        <v>108</v>
      </c>
      <c r="AD37" s="310" t="s">
        <v>38</v>
      </c>
      <c r="AE37" s="307" t="s">
        <v>98</v>
      </c>
      <c r="AF37" s="307" t="s">
        <v>98</v>
      </c>
      <c r="AG37" s="214"/>
      <c r="AH37" s="62"/>
      <c r="AI37" s="71"/>
      <c r="AJ37" s="39"/>
      <c r="AK37" s="71"/>
      <c r="AL37" s="39"/>
      <c r="AM37" s="327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</row>
    <row r="38" spans="1:65" x14ac:dyDescent="0.2">
      <c r="A38" s="33"/>
      <c r="B38" s="33" t="str">
        <f t="shared" si="3"/>
        <v>-----</v>
      </c>
      <c r="C38" s="59"/>
      <c r="D38" s="46"/>
      <c r="E38" s="46"/>
      <c r="F38" s="46"/>
      <c r="G38" s="46"/>
      <c r="H38" s="46"/>
      <c r="I38" s="77"/>
      <c r="J38" s="34"/>
      <c r="K38" s="34"/>
      <c r="L38" s="35"/>
      <c r="M38" s="38"/>
      <c r="N38" s="64"/>
      <c r="O38" s="64"/>
      <c r="P38" s="37"/>
      <c r="Q38" s="304" t="s">
        <v>230</v>
      </c>
      <c r="R38" s="305" t="s">
        <v>7</v>
      </c>
      <c r="S38" s="305">
        <v>0.15</v>
      </c>
      <c r="T38" s="306">
        <v>22.15</v>
      </c>
      <c r="U38" s="306">
        <v>40.9</v>
      </c>
      <c r="V38" s="306">
        <v>57.9</v>
      </c>
      <c r="W38" s="306">
        <v>50.85</v>
      </c>
      <c r="X38" s="306">
        <v>40.880000000000003</v>
      </c>
      <c r="Y38" s="306" t="s">
        <v>98</v>
      </c>
      <c r="Z38" s="306" t="s">
        <v>98</v>
      </c>
      <c r="AA38" s="307">
        <v>51.06</v>
      </c>
      <c r="AB38" s="308"/>
      <c r="AC38" s="309">
        <v>108</v>
      </c>
      <c r="AD38" s="310" t="s">
        <v>38</v>
      </c>
      <c r="AE38" s="310">
        <v>1.64</v>
      </c>
      <c r="AF38" s="310">
        <v>6.92</v>
      </c>
      <c r="AG38" s="214"/>
      <c r="AH38" s="62"/>
      <c r="AI38" s="71"/>
      <c r="AJ38" s="39"/>
      <c r="AK38" s="71"/>
      <c r="AL38" s="39"/>
      <c r="AM38" s="327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</row>
    <row r="39" spans="1:65" x14ac:dyDescent="0.2">
      <c r="A39" s="33"/>
      <c r="B39" s="33" t="str">
        <f t="shared" si="3"/>
        <v>-----</v>
      </c>
      <c r="C39" s="59"/>
      <c r="D39" s="60"/>
      <c r="E39" s="61"/>
      <c r="F39" s="61"/>
      <c r="G39" s="46"/>
      <c r="H39" s="46"/>
      <c r="I39" s="77"/>
      <c r="J39" s="34"/>
      <c r="K39" s="34"/>
      <c r="L39" s="35"/>
      <c r="M39" s="38"/>
      <c r="N39" s="64"/>
      <c r="O39" s="64"/>
      <c r="P39" s="37"/>
      <c r="Q39" s="304" t="s">
        <v>246</v>
      </c>
      <c r="R39" s="305" t="s">
        <v>7</v>
      </c>
      <c r="S39" s="305">
        <v>0.15</v>
      </c>
      <c r="T39" s="306">
        <v>23</v>
      </c>
      <c r="U39" s="306">
        <v>40.9</v>
      </c>
      <c r="V39" s="306">
        <v>61.45</v>
      </c>
      <c r="W39" s="306">
        <v>50.85</v>
      </c>
      <c r="X39" s="306">
        <v>40.880000000000003</v>
      </c>
      <c r="Y39" s="306" t="s">
        <v>98</v>
      </c>
      <c r="Z39" s="306" t="s">
        <v>98</v>
      </c>
      <c r="AA39" s="307">
        <v>51.05</v>
      </c>
      <c r="AB39" s="308"/>
      <c r="AC39" s="309">
        <v>108</v>
      </c>
      <c r="AD39" s="310" t="s">
        <v>38</v>
      </c>
      <c r="AE39" s="310">
        <v>1.64</v>
      </c>
      <c r="AF39" s="310">
        <v>6.92</v>
      </c>
      <c r="AG39" s="214"/>
      <c r="AH39" s="62"/>
      <c r="AI39" s="71"/>
      <c r="AJ39" s="39"/>
      <c r="AK39" s="71"/>
      <c r="AL39" s="39"/>
      <c r="AM39" s="327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</row>
    <row r="40" spans="1:65" x14ac:dyDescent="0.2">
      <c r="A40" s="33"/>
      <c r="B40" s="33" t="str">
        <f t="shared" si="3"/>
        <v>-----</v>
      </c>
      <c r="C40" s="59"/>
      <c r="D40" s="59"/>
      <c r="E40" s="61"/>
      <c r="F40" s="46"/>
      <c r="G40" s="46"/>
      <c r="H40" s="46"/>
      <c r="I40" s="77"/>
      <c r="J40" s="34"/>
      <c r="K40" s="34"/>
      <c r="L40" s="35"/>
      <c r="M40" s="38"/>
      <c r="N40" s="64"/>
      <c r="O40" s="64"/>
      <c r="P40" s="37"/>
      <c r="Q40" s="36"/>
      <c r="R40" s="63"/>
      <c r="S40" s="63"/>
      <c r="T40" s="37"/>
      <c r="U40" s="37"/>
      <c r="V40" s="37"/>
      <c r="W40" s="37"/>
      <c r="X40" s="37"/>
      <c r="Y40" s="37"/>
      <c r="Z40" s="37"/>
      <c r="AA40" s="59"/>
      <c r="AB40" s="80"/>
      <c r="AC40" s="65"/>
      <c r="AD40" s="42"/>
      <c r="AE40" s="42"/>
      <c r="AF40" s="42"/>
      <c r="AG40" s="214"/>
      <c r="AH40" s="62"/>
      <c r="AI40" s="71"/>
      <c r="AJ40" s="39"/>
      <c r="AK40" s="71"/>
      <c r="AL40" s="39"/>
      <c r="AM40" s="327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</row>
    <row r="41" spans="1:65" x14ac:dyDescent="0.2">
      <c r="A41" s="33"/>
      <c r="B41" s="33" t="str">
        <f t="shared" si="3"/>
        <v>BLNK-0--488Only-SURF-</v>
      </c>
      <c r="C41" s="59" t="s">
        <v>53</v>
      </c>
      <c r="D41" s="60" t="s">
        <v>39</v>
      </c>
      <c r="E41" s="61"/>
      <c r="F41" s="61" t="s">
        <v>51</v>
      </c>
      <c r="G41" s="46" t="s">
        <v>45</v>
      </c>
      <c r="H41" s="46"/>
      <c r="I41" s="77" t="s">
        <v>197</v>
      </c>
      <c r="J41" s="34"/>
      <c r="K41" s="34"/>
      <c r="L41" s="35"/>
      <c r="M41" s="38"/>
      <c r="N41" s="64"/>
      <c r="O41" s="64"/>
      <c r="P41" s="37"/>
      <c r="Q41" s="36" t="s">
        <v>63</v>
      </c>
      <c r="R41" s="63" t="s">
        <v>7</v>
      </c>
      <c r="S41" s="63">
        <v>0.15</v>
      </c>
      <c r="T41" s="37">
        <v>25.25</v>
      </c>
      <c r="U41" s="37">
        <v>55</v>
      </c>
      <c r="V41" s="37">
        <v>69</v>
      </c>
      <c r="W41" s="37">
        <v>50.85</v>
      </c>
      <c r="X41" s="37">
        <v>66.349999999999994</v>
      </c>
      <c r="Y41" s="37" t="s">
        <v>98</v>
      </c>
      <c r="Z41" s="37" t="s">
        <v>98</v>
      </c>
      <c r="AA41" s="59">
        <v>53.75</v>
      </c>
      <c r="AB41" s="80"/>
      <c r="AC41" s="65">
        <v>108</v>
      </c>
      <c r="AD41" s="242" t="s">
        <v>98</v>
      </c>
      <c r="AE41" s="59" t="s">
        <v>98</v>
      </c>
      <c r="AF41" s="59" t="s">
        <v>98</v>
      </c>
      <c r="AG41" s="214">
        <v>45.247</v>
      </c>
      <c r="AH41" s="62">
        <v>47.674999999999997</v>
      </c>
      <c r="AI41" s="71">
        <v>5.08</v>
      </c>
      <c r="AJ41" s="39">
        <v>4250</v>
      </c>
      <c r="AK41" s="71">
        <v>5.81</v>
      </c>
      <c r="AL41" s="39">
        <v>3710</v>
      </c>
      <c r="AM41" s="327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</row>
    <row r="42" spans="1:65" x14ac:dyDescent="0.2">
      <c r="A42" s="33"/>
      <c r="B42" s="33" t="str">
        <f t="shared" si="3"/>
        <v>BDS---SURF-000-</v>
      </c>
      <c r="C42" s="59" t="s">
        <v>52</v>
      </c>
      <c r="D42" s="59"/>
      <c r="E42" s="61"/>
      <c r="F42" s="46" t="s">
        <v>45</v>
      </c>
      <c r="G42" s="46" t="s">
        <v>71</v>
      </c>
      <c r="H42" s="46"/>
      <c r="I42" s="77" t="s">
        <v>198</v>
      </c>
      <c r="J42" s="34" t="s">
        <v>119</v>
      </c>
      <c r="K42" s="34"/>
      <c r="L42" s="35" t="s">
        <v>157</v>
      </c>
      <c r="M42" s="38">
        <v>20</v>
      </c>
      <c r="N42" s="64">
        <v>21.6</v>
      </c>
      <c r="O42" s="64">
        <v>43.4</v>
      </c>
      <c r="P42" s="37"/>
      <c r="Q42" s="36" t="s">
        <v>63</v>
      </c>
      <c r="R42" s="63" t="s">
        <v>7</v>
      </c>
      <c r="S42" s="63">
        <v>0.15</v>
      </c>
      <c r="T42" s="37">
        <v>25.25</v>
      </c>
      <c r="U42" s="37">
        <v>55</v>
      </c>
      <c r="V42" s="37">
        <v>69</v>
      </c>
      <c r="W42" s="37">
        <v>50.85</v>
      </c>
      <c r="X42" s="37">
        <v>66.349999999999994</v>
      </c>
      <c r="Y42" s="37" t="s">
        <v>98</v>
      </c>
      <c r="Z42" s="37" t="s">
        <v>98</v>
      </c>
      <c r="AA42" s="59">
        <v>53.75</v>
      </c>
      <c r="AB42" s="80"/>
      <c r="AC42" s="65">
        <v>108</v>
      </c>
      <c r="AD42" s="42" t="s">
        <v>38</v>
      </c>
      <c r="AE42" s="42" t="s">
        <v>98</v>
      </c>
      <c r="AF42" s="42" t="s">
        <v>98</v>
      </c>
      <c r="AG42" s="214">
        <v>28.056999999999999</v>
      </c>
      <c r="AH42" s="62">
        <v>29.024000000000001</v>
      </c>
      <c r="AI42" s="71">
        <v>6.08</v>
      </c>
      <c r="AJ42" s="39">
        <v>4310</v>
      </c>
      <c r="AK42" s="71">
        <v>4.43</v>
      </c>
      <c r="AL42" s="39">
        <v>4450</v>
      </c>
      <c r="AM42" s="327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</row>
    <row r="43" spans="1:65" x14ac:dyDescent="0.2">
      <c r="A43" s="33"/>
      <c r="B43" s="33" t="str">
        <f t="shared" si="3"/>
        <v>-----</v>
      </c>
      <c r="C43" s="59"/>
      <c r="D43" s="46"/>
      <c r="E43" s="46"/>
      <c r="F43" s="46"/>
      <c r="G43" s="46"/>
      <c r="H43" s="46"/>
      <c r="I43" s="77"/>
      <c r="J43" s="34"/>
      <c r="K43" s="34"/>
      <c r="L43" s="35"/>
      <c r="M43" s="38"/>
      <c r="N43" s="64"/>
      <c r="O43" s="64"/>
      <c r="P43" s="37"/>
      <c r="Q43" s="36"/>
      <c r="R43" s="63"/>
      <c r="S43" s="63"/>
      <c r="T43" s="37"/>
      <c r="U43" s="37"/>
      <c r="V43" s="37"/>
      <c r="W43" s="37"/>
      <c r="X43" s="37"/>
      <c r="Y43" s="37"/>
      <c r="Z43" s="37"/>
      <c r="AA43" s="42"/>
      <c r="AB43" s="80"/>
      <c r="AC43" s="65"/>
      <c r="AD43" s="42"/>
      <c r="AE43" s="42"/>
      <c r="AF43" s="42"/>
      <c r="AG43" s="214"/>
      <c r="AH43" s="62"/>
      <c r="AI43" s="71"/>
      <c r="AJ43" s="39"/>
      <c r="AK43" s="71"/>
      <c r="AL43" s="39"/>
      <c r="AM43" s="327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</row>
    <row r="44" spans="1:65" ht="17" x14ac:dyDescent="0.2">
      <c r="A44" s="33"/>
      <c r="B44" s="33" t="str">
        <f t="shared" si="3"/>
        <v>BLNK---SURF-ZeroTrig-</v>
      </c>
      <c r="C44" s="42" t="s">
        <v>53</v>
      </c>
      <c r="D44" s="46"/>
      <c r="E44" s="46"/>
      <c r="F44" s="46" t="s">
        <v>45</v>
      </c>
      <c r="G44" s="46" t="s">
        <v>67</v>
      </c>
      <c r="H44" s="46"/>
      <c r="I44" s="77" t="s">
        <v>199</v>
      </c>
      <c r="J44" s="34" t="s">
        <v>200</v>
      </c>
      <c r="K44" s="69" t="s">
        <v>69</v>
      </c>
      <c r="L44" s="35" t="s">
        <v>201</v>
      </c>
      <c r="M44" s="38"/>
      <c r="N44" s="64"/>
      <c r="O44" s="64"/>
      <c r="P44" s="37"/>
      <c r="Q44" s="36" t="s">
        <v>63</v>
      </c>
      <c r="R44" s="63" t="s">
        <v>7</v>
      </c>
      <c r="S44" s="241">
        <v>0</v>
      </c>
      <c r="T44" s="37">
        <v>25.25</v>
      </c>
      <c r="U44" s="37">
        <v>55</v>
      </c>
      <c r="V44" s="37">
        <v>69</v>
      </c>
      <c r="W44" s="37">
        <v>50.85</v>
      </c>
      <c r="X44" s="37">
        <v>66.349999999999994</v>
      </c>
      <c r="Y44" s="37" t="s">
        <v>98</v>
      </c>
      <c r="Z44" s="37" t="s">
        <v>98</v>
      </c>
      <c r="AA44" s="59">
        <v>53.75</v>
      </c>
      <c r="AB44" s="193"/>
      <c r="AC44" s="65">
        <v>108</v>
      </c>
      <c r="AD44" s="42" t="s">
        <v>38</v>
      </c>
      <c r="AE44" s="42" t="s">
        <v>98</v>
      </c>
      <c r="AF44" s="42" t="s">
        <v>98</v>
      </c>
      <c r="AG44" s="214"/>
      <c r="AH44" s="62"/>
      <c r="AI44" s="71"/>
      <c r="AJ44" s="39"/>
      <c r="AK44" s="71"/>
      <c r="AL44" s="39"/>
      <c r="AM44" s="327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</row>
    <row r="45" spans="1:65" x14ac:dyDescent="0.2">
      <c r="A45" s="33"/>
      <c r="B45" s="33" t="str">
        <f t="shared" si="3"/>
        <v>BLNK---SURF-0-</v>
      </c>
      <c r="C45" s="42" t="s">
        <v>53</v>
      </c>
      <c r="D45" s="46"/>
      <c r="E45" s="46"/>
      <c r="F45" s="46" t="s">
        <v>45</v>
      </c>
      <c r="G45" s="46" t="s">
        <v>39</v>
      </c>
      <c r="H45" s="41"/>
      <c r="I45" s="77" t="s">
        <v>202</v>
      </c>
      <c r="J45" s="34" t="s">
        <v>203</v>
      </c>
      <c r="K45" s="34" t="s">
        <v>126</v>
      </c>
      <c r="L45" s="35" t="s">
        <v>204</v>
      </c>
      <c r="M45" s="38"/>
      <c r="N45" s="64"/>
      <c r="O45" s="64"/>
      <c r="P45" s="37"/>
      <c r="Q45" s="36" t="s">
        <v>63</v>
      </c>
      <c r="R45" s="63" t="s">
        <v>7</v>
      </c>
      <c r="S45" s="63">
        <v>0.15</v>
      </c>
      <c r="T45" s="37">
        <v>25.25</v>
      </c>
      <c r="U45" s="37">
        <v>55</v>
      </c>
      <c r="V45" s="37">
        <v>69</v>
      </c>
      <c r="W45" s="37">
        <v>50.85</v>
      </c>
      <c r="X45" s="37">
        <v>66.349999999999994</v>
      </c>
      <c r="Y45" s="37" t="s">
        <v>98</v>
      </c>
      <c r="Z45" s="37" t="s">
        <v>98</v>
      </c>
      <c r="AA45" s="59">
        <v>53.75</v>
      </c>
      <c r="AB45" s="80"/>
      <c r="AC45" s="65">
        <v>108</v>
      </c>
      <c r="AD45" s="42" t="s">
        <v>38</v>
      </c>
      <c r="AE45" s="42" t="s">
        <v>98</v>
      </c>
      <c r="AF45" s="42" t="s">
        <v>98</v>
      </c>
      <c r="AG45" s="214"/>
      <c r="AH45" s="62"/>
      <c r="AI45" s="71"/>
      <c r="AJ45" s="39"/>
      <c r="AK45" s="71"/>
      <c r="AL45" s="39"/>
      <c r="AM45" s="327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</row>
    <row r="46" spans="1:65" x14ac:dyDescent="0.2">
      <c r="A46" s="33"/>
      <c r="B46" s="33" t="str">
        <f t="shared" si="3"/>
        <v>MILLIQ---SURF-0-</v>
      </c>
      <c r="C46" s="42" t="s">
        <v>115</v>
      </c>
      <c r="D46" s="41"/>
      <c r="E46" s="41"/>
      <c r="F46" s="41" t="s">
        <v>45</v>
      </c>
      <c r="G46" s="46" t="s">
        <v>39</v>
      </c>
      <c r="H46" s="41"/>
      <c r="I46" s="77" t="s">
        <v>205</v>
      </c>
      <c r="J46" s="34" t="s">
        <v>206</v>
      </c>
      <c r="K46" s="34" t="s">
        <v>207</v>
      </c>
      <c r="L46" s="35"/>
      <c r="M46" s="38">
        <v>20</v>
      </c>
      <c r="N46" s="64">
        <v>21.6</v>
      </c>
      <c r="O46" s="64">
        <v>43.8</v>
      </c>
      <c r="P46" s="37"/>
      <c r="Q46" s="36" t="s">
        <v>63</v>
      </c>
      <c r="R46" s="63" t="s">
        <v>7</v>
      </c>
      <c r="S46" s="63">
        <v>0.15</v>
      </c>
      <c r="T46" s="37">
        <v>25.25</v>
      </c>
      <c r="U46" s="37">
        <v>55</v>
      </c>
      <c r="V46" s="37">
        <v>69</v>
      </c>
      <c r="W46" s="37">
        <v>50.85</v>
      </c>
      <c r="X46" s="37">
        <v>66.349999999999994</v>
      </c>
      <c r="Y46" s="37" t="s">
        <v>98</v>
      </c>
      <c r="Z46" s="37" t="s">
        <v>98</v>
      </c>
      <c r="AA46" s="59">
        <v>53.75</v>
      </c>
      <c r="AB46" s="80"/>
      <c r="AC46" s="65">
        <v>108</v>
      </c>
      <c r="AD46" s="42" t="s">
        <v>38</v>
      </c>
      <c r="AE46" s="42" t="s">
        <v>98</v>
      </c>
      <c r="AF46" s="42" t="s">
        <v>98</v>
      </c>
      <c r="AG46" s="214">
        <v>103.68899999999999</v>
      </c>
      <c r="AH46" s="62">
        <v>107.488</v>
      </c>
      <c r="AI46" s="71"/>
      <c r="AJ46" s="39"/>
      <c r="AK46" s="71"/>
      <c r="AL46" s="39"/>
      <c r="AM46" s="327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</row>
    <row r="47" spans="1:65" x14ac:dyDescent="0.2">
      <c r="A47" s="33"/>
      <c r="B47" s="33" t="str">
        <f t="shared" si="3"/>
        <v>BDS---SURF-0-</v>
      </c>
      <c r="C47" s="42" t="s">
        <v>52</v>
      </c>
      <c r="D47" s="60"/>
      <c r="E47" s="46"/>
      <c r="F47" s="46" t="s">
        <v>45</v>
      </c>
      <c r="G47" s="46" t="s">
        <v>39</v>
      </c>
      <c r="H47" s="41"/>
      <c r="I47" s="77" t="s">
        <v>208</v>
      </c>
      <c r="J47" s="34" t="s">
        <v>97</v>
      </c>
      <c r="K47" s="34" t="s">
        <v>100</v>
      </c>
      <c r="L47" s="70"/>
      <c r="M47" s="38">
        <v>20</v>
      </c>
      <c r="N47" s="64">
        <v>21.6</v>
      </c>
      <c r="O47" s="64">
        <v>43.2</v>
      </c>
      <c r="P47" s="37"/>
      <c r="Q47" s="36" t="s">
        <v>63</v>
      </c>
      <c r="R47" s="63" t="s">
        <v>7</v>
      </c>
      <c r="S47" s="63">
        <v>0.15</v>
      </c>
      <c r="T47" s="37">
        <v>25.25</v>
      </c>
      <c r="U47" s="37">
        <v>55</v>
      </c>
      <c r="V47" s="37">
        <v>69</v>
      </c>
      <c r="W47" s="37">
        <v>50.85</v>
      </c>
      <c r="X47" s="37">
        <v>66.349999999999994</v>
      </c>
      <c r="Y47" s="37" t="s">
        <v>98</v>
      </c>
      <c r="Z47" s="37" t="s">
        <v>98</v>
      </c>
      <c r="AA47" s="59">
        <v>53.75</v>
      </c>
      <c r="AB47" s="80"/>
      <c r="AC47" s="65">
        <v>108</v>
      </c>
      <c r="AD47" s="42" t="s">
        <v>38</v>
      </c>
      <c r="AE47" s="42" t="s">
        <v>98</v>
      </c>
      <c r="AF47" s="42" t="s">
        <v>98</v>
      </c>
      <c r="AG47" s="245">
        <v>33.962000000000003</v>
      </c>
      <c r="AH47" s="246">
        <v>35.130000000000003</v>
      </c>
      <c r="AI47" s="71">
        <v>6.25</v>
      </c>
      <c r="AJ47" s="39">
        <v>4260</v>
      </c>
      <c r="AK47" s="71">
        <v>4.4000000000000004</v>
      </c>
      <c r="AL47" s="39">
        <v>4440</v>
      </c>
      <c r="AM47" s="327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</row>
    <row r="48" spans="1:65" x14ac:dyDescent="0.2">
      <c r="A48" s="33"/>
      <c r="B48" s="33" t="str">
        <f t="shared" si="3"/>
        <v>BDS---DCM-0-</v>
      </c>
      <c r="C48" s="42" t="s">
        <v>52</v>
      </c>
      <c r="D48" s="60"/>
      <c r="E48" s="46"/>
      <c r="F48" s="46" t="s">
        <v>46</v>
      </c>
      <c r="G48" s="46" t="s">
        <v>39</v>
      </c>
      <c r="H48" s="41"/>
      <c r="I48" s="77" t="s">
        <v>209</v>
      </c>
      <c r="J48" s="34" t="s">
        <v>99</v>
      </c>
      <c r="K48" s="34" t="s">
        <v>100</v>
      </c>
      <c r="L48" s="70"/>
      <c r="M48" s="38">
        <v>20</v>
      </c>
      <c r="N48" s="64">
        <v>21.6</v>
      </c>
      <c r="O48" s="64">
        <v>43.2</v>
      </c>
      <c r="P48" s="37"/>
      <c r="Q48" s="36" t="s">
        <v>64</v>
      </c>
      <c r="R48" s="192" t="s">
        <v>7</v>
      </c>
      <c r="S48" s="192">
        <v>0.15</v>
      </c>
      <c r="T48" s="37">
        <v>24.25</v>
      </c>
      <c r="U48" s="37">
        <v>48.15</v>
      </c>
      <c r="V48" s="37">
        <v>60.35</v>
      </c>
      <c r="W48" s="37">
        <v>50.85</v>
      </c>
      <c r="X48" s="37">
        <v>69.650000000000006</v>
      </c>
      <c r="Y48" s="37" t="s">
        <v>98</v>
      </c>
      <c r="Z48" s="37" t="s">
        <v>98</v>
      </c>
      <c r="AA48" s="42">
        <v>53.75</v>
      </c>
      <c r="AB48" s="80"/>
      <c r="AC48" s="65">
        <v>108</v>
      </c>
      <c r="AD48" s="42" t="s">
        <v>38</v>
      </c>
      <c r="AE48" s="42" t="s">
        <v>98</v>
      </c>
      <c r="AF48" s="42" t="s">
        <v>98</v>
      </c>
      <c r="AG48" s="245">
        <v>25.295000000000002</v>
      </c>
      <c r="AH48" s="246">
        <v>26.178000000000001</v>
      </c>
      <c r="AI48" s="71">
        <v>6.55</v>
      </c>
      <c r="AJ48" s="39">
        <v>3180</v>
      </c>
      <c r="AK48" s="71">
        <v>4.92</v>
      </c>
      <c r="AL48" s="39">
        <v>1520</v>
      </c>
      <c r="AM48" s="327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</row>
    <row r="49" spans="1:65" s="13" customFormat="1" x14ac:dyDescent="0.2">
      <c r="A49" s="194"/>
      <c r="B49" s="33" t="str">
        <f t="shared" si="3"/>
        <v>-----</v>
      </c>
      <c r="C49" s="42"/>
      <c r="D49" s="41"/>
      <c r="E49" s="41"/>
      <c r="F49" s="41"/>
      <c r="G49" s="41"/>
      <c r="H49" s="41"/>
      <c r="I49" s="77"/>
      <c r="J49" s="34"/>
      <c r="K49" s="34"/>
      <c r="L49" s="35"/>
      <c r="M49" s="38"/>
      <c r="N49" s="64"/>
      <c r="O49" s="64"/>
      <c r="P49" s="39"/>
      <c r="Q49" s="36"/>
      <c r="R49" s="192"/>
      <c r="S49" s="192"/>
      <c r="T49" s="37"/>
      <c r="U49" s="37"/>
      <c r="V49" s="37"/>
      <c r="W49" s="37"/>
      <c r="X49" s="37"/>
      <c r="Y49" s="37"/>
      <c r="Z49" s="37"/>
      <c r="AA49" s="42"/>
      <c r="AB49" s="80"/>
      <c r="AC49" s="65"/>
      <c r="AD49" s="42"/>
      <c r="AE49" s="42"/>
      <c r="AF49" s="42"/>
      <c r="AG49" s="245"/>
      <c r="AH49" s="246"/>
      <c r="AI49" s="71"/>
      <c r="AJ49" s="39"/>
      <c r="AK49" s="71"/>
      <c r="AL49" s="39"/>
      <c r="AM49" s="326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</row>
    <row r="50" spans="1:65" s="13" customFormat="1" x14ac:dyDescent="0.2">
      <c r="A50" s="194"/>
      <c r="B50" s="33" t="str">
        <f t="shared" si="3"/>
        <v>H325-QC-EMS-DCM-A-</v>
      </c>
      <c r="C50" s="42" t="s">
        <v>77</v>
      </c>
      <c r="D50" s="41" t="s">
        <v>6</v>
      </c>
      <c r="E50" s="41" t="s">
        <v>5</v>
      </c>
      <c r="F50" s="41" t="s">
        <v>46</v>
      </c>
      <c r="G50" s="41" t="s">
        <v>78</v>
      </c>
      <c r="H50" s="41"/>
      <c r="I50" s="77" t="s">
        <v>210</v>
      </c>
      <c r="J50" s="34" t="s">
        <v>122</v>
      </c>
      <c r="K50" s="34" t="s">
        <v>211</v>
      </c>
      <c r="L50" s="70" t="s">
        <v>213</v>
      </c>
      <c r="M50" s="38">
        <v>20</v>
      </c>
      <c r="N50" s="64">
        <v>21.6</v>
      </c>
      <c r="O50" s="64">
        <v>39.799999999999997</v>
      </c>
      <c r="P50" s="39"/>
      <c r="Q50" s="36" t="s">
        <v>64</v>
      </c>
      <c r="R50" s="192" t="s">
        <v>7</v>
      </c>
      <c r="S50" s="192">
        <v>0.15</v>
      </c>
      <c r="T50" s="37">
        <v>24.25</v>
      </c>
      <c r="U50" s="37">
        <v>48.15</v>
      </c>
      <c r="V50" s="37">
        <v>60.35</v>
      </c>
      <c r="W50" s="37">
        <v>50.85</v>
      </c>
      <c r="X50" s="37">
        <v>69.650000000000006</v>
      </c>
      <c r="Y50" s="37" t="s">
        <v>98</v>
      </c>
      <c r="Z50" s="37" t="s">
        <v>98</v>
      </c>
      <c r="AA50" s="42">
        <v>53.75</v>
      </c>
      <c r="AB50" s="80"/>
      <c r="AC50" s="65">
        <v>108</v>
      </c>
      <c r="AD50" s="42" t="s">
        <v>38</v>
      </c>
      <c r="AE50" s="42" t="s">
        <v>98</v>
      </c>
      <c r="AF50" s="42" t="s">
        <v>98</v>
      </c>
      <c r="AG50" s="245">
        <v>100.193</v>
      </c>
      <c r="AH50" s="246">
        <v>102.188</v>
      </c>
      <c r="AI50" s="71">
        <v>7.97</v>
      </c>
      <c r="AJ50" s="39">
        <v>3170</v>
      </c>
      <c r="AK50" s="71">
        <v>5.29</v>
      </c>
      <c r="AL50" s="39">
        <v>1530</v>
      </c>
      <c r="AM50" s="330">
        <f>AVERAGE(AG50:AH50)</f>
        <v>101.1905</v>
      </c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</row>
    <row r="51" spans="1:65" s="13" customFormat="1" x14ac:dyDescent="0.2">
      <c r="A51" s="194"/>
      <c r="B51" s="33" t="str">
        <f t="shared" si="3"/>
        <v>H325-QC-EMS-DCM-B-</v>
      </c>
      <c r="C51" s="42" t="s">
        <v>77</v>
      </c>
      <c r="D51" s="68" t="s">
        <v>6</v>
      </c>
      <c r="E51" s="41" t="s">
        <v>5</v>
      </c>
      <c r="F51" s="41" t="s">
        <v>46</v>
      </c>
      <c r="G51" s="41" t="s">
        <v>79</v>
      </c>
      <c r="H51" s="41"/>
      <c r="I51" s="77" t="s">
        <v>212</v>
      </c>
      <c r="J51" s="34" t="s">
        <v>214</v>
      </c>
      <c r="K51" s="34" t="s">
        <v>215</v>
      </c>
      <c r="L51" s="35"/>
      <c r="M51" s="38">
        <v>20</v>
      </c>
      <c r="N51" s="64">
        <v>21.6</v>
      </c>
      <c r="O51" s="64">
        <v>39.9</v>
      </c>
      <c r="P51" s="39"/>
      <c r="Q51" s="36" t="s">
        <v>64</v>
      </c>
      <c r="R51" s="192" t="s">
        <v>7</v>
      </c>
      <c r="S51" s="192">
        <v>0.15</v>
      </c>
      <c r="T51" s="37">
        <v>24.25</v>
      </c>
      <c r="U51" s="37">
        <v>48.15</v>
      </c>
      <c r="V51" s="37">
        <v>60.35</v>
      </c>
      <c r="W51" s="37">
        <v>50.85</v>
      </c>
      <c r="X51" s="37">
        <v>69.650000000000006</v>
      </c>
      <c r="Y51" s="37" t="s">
        <v>98</v>
      </c>
      <c r="Z51" s="37" t="s">
        <v>98</v>
      </c>
      <c r="AA51" s="42">
        <v>53.75</v>
      </c>
      <c r="AB51" s="80"/>
      <c r="AC51" s="65">
        <v>108</v>
      </c>
      <c r="AD51" s="42" t="s">
        <v>38</v>
      </c>
      <c r="AE51" s="42" t="s">
        <v>98</v>
      </c>
      <c r="AF51" s="42" t="s">
        <v>98</v>
      </c>
      <c r="AG51" s="245">
        <v>104.28</v>
      </c>
      <c r="AH51" s="246">
        <v>106.38</v>
      </c>
      <c r="AI51" s="159">
        <v>7.15</v>
      </c>
      <c r="AJ51" s="197">
        <v>3200</v>
      </c>
      <c r="AK51" s="159">
        <v>5.48</v>
      </c>
      <c r="AL51" s="197">
        <v>1530</v>
      </c>
      <c r="AM51" s="330">
        <f t="shared" ref="AM51:AM106" si="4">AVERAGE(AG51:AH51)</f>
        <v>105.33</v>
      </c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</row>
    <row r="52" spans="1:65" s="13" customFormat="1" x14ac:dyDescent="0.2">
      <c r="A52" s="194"/>
      <c r="B52" s="33" t="str">
        <f t="shared" si="3"/>
        <v>H325-QC-EMS-DCM-C-</v>
      </c>
      <c r="C52" s="42" t="s">
        <v>77</v>
      </c>
      <c r="D52" s="68" t="s">
        <v>6</v>
      </c>
      <c r="E52" s="41" t="s">
        <v>5</v>
      </c>
      <c r="F52" s="41" t="s">
        <v>46</v>
      </c>
      <c r="G52" s="41" t="s">
        <v>82</v>
      </c>
      <c r="H52" s="41"/>
      <c r="I52" s="77" t="s">
        <v>216</v>
      </c>
      <c r="J52" s="34" t="s">
        <v>125</v>
      </c>
      <c r="K52" s="34" t="s">
        <v>142</v>
      </c>
      <c r="L52" s="35"/>
      <c r="M52" s="38">
        <v>20</v>
      </c>
      <c r="N52" s="64">
        <v>21.6</v>
      </c>
      <c r="O52" s="64">
        <v>39.799999999999997</v>
      </c>
      <c r="P52" s="39"/>
      <c r="Q52" s="36" t="s">
        <v>64</v>
      </c>
      <c r="R52" s="192" t="s">
        <v>7</v>
      </c>
      <c r="S52" s="192">
        <v>0.15</v>
      </c>
      <c r="T52" s="37">
        <v>24.25</v>
      </c>
      <c r="U52" s="37">
        <v>48.15</v>
      </c>
      <c r="V52" s="37">
        <v>60.35</v>
      </c>
      <c r="W52" s="37">
        <v>50.85</v>
      </c>
      <c r="X52" s="37">
        <v>69.650000000000006</v>
      </c>
      <c r="Y52" s="37" t="s">
        <v>98</v>
      </c>
      <c r="Z52" s="37" t="s">
        <v>98</v>
      </c>
      <c r="AA52" s="42">
        <v>53.75</v>
      </c>
      <c r="AB52" s="80"/>
      <c r="AC52" s="65">
        <v>108</v>
      </c>
      <c r="AD52" s="42" t="s">
        <v>38</v>
      </c>
      <c r="AE52" s="42" t="s">
        <v>98</v>
      </c>
      <c r="AF52" s="42" t="s">
        <v>98</v>
      </c>
      <c r="AG52" s="245">
        <v>102.899</v>
      </c>
      <c r="AH52" s="246">
        <v>105.006</v>
      </c>
      <c r="AI52" s="159">
        <v>7.48</v>
      </c>
      <c r="AJ52" s="197">
        <v>3190</v>
      </c>
      <c r="AK52" s="159">
        <v>5.49</v>
      </c>
      <c r="AL52" s="197">
        <v>1530</v>
      </c>
      <c r="AM52" s="330">
        <f t="shared" si="4"/>
        <v>103.9525</v>
      </c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</row>
    <row r="53" spans="1:65" x14ac:dyDescent="0.2">
      <c r="A53" s="33"/>
      <c r="B53" s="33" t="str">
        <f t="shared" si="3"/>
        <v>H325-QC-EMS-SURF-A-</v>
      </c>
      <c r="C53" s="42" t="s">
        <v>77</v>
      </c>
      <c r="D53" s="68" t="s">
        <v>6</v>
      </c>
      <c r="E53" s="41" t="s">
        <v>5</v>
      </c>
      <c r="F53" s="41" t="s">
        <v>45</v>
      </c>
      <c r="G53" s="41" t="s">
        <v>78</v>
      </c>
      <c r="H53" s="196"/>
      <c r="I53" s="77" t="s">
        <v>217</v>
      </c>
      <c r="J53" s="34" t="s">
        <v>218</v>
      </c>
      <c r="K53" s="34" t="s">
        <v>132</v>
      </c>
      <c r="L53" s="35"/>
      <c r="M53" s="38">
        <v>20</v>
      </c>
      <c r="N53" s="64">
        <v>21.6</v>
      </c>
      <c r="O53" s="64">
        <v>39.700000000000003</v>
      </c>
      <c r="P53" s="39"/>
      <c r="Q53" s="36" t="s">
        <v>63</v>
      </c>
      <c r="R53" s="63" t="s">
        <v>7</v>
      </c>
      <c r="S53" s="63">
        <v>0.15</v>
      </c>
      <c r="T53" s="37">
        <v>25.25</v>
      </c>
      <c r="U53" s="37">
        <v>55</v>
      </c>
      <c r="V53" s="37">
        <v>69</v>
      </c>
      <c r="W53" s="37">
        <v>50.85</v>
      </c>
      <c r="X53" s="37">
        <v>66.349999999999994</v>
      </c>
      <c r="Y53" s="37" t="s">
        <v>98</v>
      </c>
      <c r="Z53" s="37" t="s">
        <v>98</v>
      </c>
      <c r="AA53" s="59">
        <v>53.75</v>
      </c>
      <c r="AB53" s="80"/>
      <c r="AC53" s="65">
        <v>108</v>
      </c>
      <c r="AD53" s="42" t="s">
        <v>38</v>
      </c>
      <c r="AE53" s="42" t="s">
        <v>98</v>
      </c>
      <c r="AF53" s="42" t="s">
        <v>98</v>
      </c>
      <c r="AG53" s="245">
        <v>98.760999999999996</v>
      </c>
      <c r="AH53" s="246">
        <v>100.746</v>
      </c>
      <c r="AI53" s="159">
        <v>7.12</v>
      </c>
      <c r="AJ53" s="197">
        <v>4210</v>
      </c>
      <c r="AK53" s="159">
        <v>4.53</v>
      </c>
      <c r="AL53" s="197">
        <v>4420</v>
      </c>
      <c r="AM53" s="330">
        <f t="shared" si="4"/>
        <v>99.753500000000003</v>
      </c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</row>
    <row r="54" spans="1:65" ht="17" customHeight="1" x14ac:dyDescent="0.2">
      <c r="A54" s="33"/>
      <c r="B54" s="33" t="str">
        <f t="shared" si="3"/>
        <v>H325-QC-EMS-SURF-B-</v>
      </c>
      <c r="C54" s="42" t="s">
        <v>77</v>
      </c>
      <c r="D54" s="68" t="s">
        <v>6</v>
      </c>
      <c r="E54" s="41" t="s">
        <v>5</v>
      </c>
      <c r="F54" s="41" t="s">
        <v>45</v>
      </c>
      <c r="G54" s="196" t="s">
        <v>79</v>
      </c>
      <c r="H54" s="41"/>
      <c r="I54" s="77" t="s">
        <v>219</v>
      </c>
      <c r="J54" s="69" t="s">
        <v>220</v>
      </c>
      <c r="K54" s="69"/>
      <c r="L54" s="35"/>
      <c r="M54" s="38"/>
      <c r="N54" s="64"/>
      <c r="O54" s="158"/>
      <c r="P54" s="197"/>
      <c r="Q54" s="36" t="s">
        <v>63</v>
      </c>
      <c r="R54" s="63" t="s">
        <v>7</v>
      </c>
      <c r="S54" s="63">
        <v>0.15</v>
      </c>
      <c r="T54" s="37">
        <v>25.25</v>
      </c>
      <c r="U54" s="37">
        <v>55</v>
      </c>
      <c r="V54" s="37">
        <v>69</v>
      </c>
      <c r="W54" s="37">
        <v>50.85</v>
      </c>
      <c r="X54" s="37">
        <v>66.349999999999994</v>
      </c>
      <c r="Y54" s="37" t="s">
        <v>98</v>
      </c>
      <c r="Z54" s="37" t="s">
        <v>98</v>
      </c>
      <c r="AA54" s="59">
        <v>53.75</v>
      </c>
      <c r="AB54" s="80"/>
      <c r="AC54" s="65">
        <v>108</v>
      </c>
      <c r="AD54" s="42" t="s">
        <v>38</v>
      </c>
      <c r="AE54" s="42" t="s">
        <v>98</v>
      </c>
      <c r="AF54" s="42" t="s">
        <v>98</v>
      </c>
      <c r="AG54" s="245">
        <v>107.809</v>
      </c>
      <c r="AH54" s="246">
        <v>109.887</v>
      </c>
      <c r="AI54" s="159">
        <v>7.14</v>
      </c>
      <c r="AJ54" s="197">
        <v>4260</v>
      </c>
      <c r="AK54" s="159">
        <v>4.95</v>
      </c>
      <c r="AL54" s="197">
        <v>4420</v>
      </c>
      <c r="AM54" s="330">
        <f t="shared" si="4"/>
        <v>108.848</v>
      </c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</row>
    <row r="55" spans="1:65" ht="17" customHeight="1" x14ac:dyDescent="0.2">
      <c r="A55" s="33"/>
      <c r="B55" s="33" t="str">
        <f t="shared" si="3"/>
        <v>H325-QC-EMS-SURF-C-</v>
      </c>
      <c r="C55" s="42" t="s">
        <v>77</v>
      </c>
      <c r="D55" s="68" t="s">
        <v>6</v>
      </c>
      <c r="E55" s="41" t="s">
        <v>5</v>
      </c>
      <c r="F55" s="41" t="s">
        <v>45</v>
      </c>
      <c r="G55" s="41" t="s">
        <v>82</v>
      </c>
      <c r="H55" s="41"/>
      <c r="I55" s="77" t="s">
        <v>221</v>
      </c>
      <c r="J55" s="69" t="s">
        <v>159</v>
      </c>
      <c r="K55" s="69"/>
      <c r="L55" s="35"/>
      <c r="M55" s="38"/>
      <c r="N55" s="64"/>
      <c r="O55" s="158"/>
      <c r="P55" s="197"/>
      <c r="Q55" s="36" t="s">
        <v>63</v>
      </c>
      <c r="R55" s="63" t="s">
        <v>7</v>
      </c>
      <c r="S55" s="63">
        <v>0.15</v>
      </c>
      <c r="T55" s="37">
        <v>25.25</v>
      </c>
      <c r="U55" s="37">
        <v>55</v>
      </c>
      <c r="V55" s="37">
        <v>69</v>
      </c>
      <c r="W55" s="37">
        <v>50.85</v>
      </c>
      <c r="X55" s="37">
        <v>66.349999999999994</v>
      </c>
      <c r="Y55" s="37" t="s">
        <v>98</v>
      </c>
      <c r="Z55" s="37" t="s">
        <v>98</v>
      </c>
      <c r="AA55" s="59">
        <v>53.75</v>
      </c>
      <c r="AB55" s="80"/>
      <c r="AC55" s="65">
        <v>108</v>
      </c>
      <c r="AD55" s="42" t="s">
        <v>38</v>
      </c>
      <c r="AE55" s="42" t="s">
        <v>98</v>
      </c>
      <c r="AF55" s="42" t="s">
        <v>98</v>
      </c>
      <c r="AG55" s="245">
        <v>100.843</v>
      </c>
      <c r="AH55" s="246">
        <v>102.89100000000001</v>
      </c>
      <c r="AI55" s="71">
        <v>6.6</v>
      </c>
      <c r="AJ55" s="39">
        <v>4310</v>
      </c>
      <c r="AK55" s="71">
        <v>4.05</v>
      </c>
      <c r="AL55" s="39">
        <v>4440</v>
      </c>
      <c r="AM55" s="330">
        <f t="shared" si="4"/>
        <v>101.867</v>
      </c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</row>
    <row r="56" spans="1:65" ht="17" x14ac:dyDescent="0.2">
      <c r="A56" s="33"/>
      <c r="B56" s="33" t="str">
        <f t="shared" si="3"/>
        <v>H325-QC-EMS-SURF-A-2</v>
      </c>
      <c r="C56" s="42" t="s">
        <v>77</v>
      </c>
      <c r="D56" s="68" t="s">
        <v>6</v>
      </c>
      <c r="E56" s="41" t="s">
        <v>5</v>
      </c>
      <c r="F56" s="41" t="s">
        <v>45</v>
      </c>
      <c r="G56" s="41" t="s">
        <v>78</v>
      </c>
      <c r="H56" s="196" t="s">
        <v>136</v>
      </c>
      <c r="I56" s="77" t="s">
        <v>223</v>
      </c>
      <c r="J56" s="69" t="s">
        <v>224</v>
      </c>
      <c r="K56" s="158" t="s">
        <v>225</v>
      </c>
      <c r="L56" s="35" t="s">
        <v>157</v>
      </c>
      <c r="M56" s="247">
        <v>20</v>
      </c>
      <c r="N56" s="158">
        <v>21.6</v>
      </c>
      <c r="O56" s="158">
        <v>39.6</v>
      </c>
      <c r="P56" s="197"/>
      <c r="Q56" s="304" t="s">
        <v>222</v>
      </c>
      <c r="R56" s="305" t="s">
        <v>7</v>
      </c>
      <c r="S56" s="305">
        <v>0.15</v>
      </c>
      <c r="T56" s="306">
        <v>22.15</v>
      </c>
      <c r="U56" s="306">
        <v>40.9</v>
      </c>
      <c r="V56" s="306">
        <v>60.8</v>
      </c>
      <c r="W56" s="306">
        <v>50.85</v>
      </c>
      <c r="X56" s="306">
        <v>43.6</v>
      </c>
      <c r="Y56" s="306" t="s">
        <v>98</v>
      </c>
      <c r="Z56" s="306" t="s">
        <v>98</v>
      </c>
      <c r="AA56" s="307" t="s">
        <v>98</v>
      </c>
      <c r="AB56" s="308"/>
      <c r="AC56" s="309">
        <v>108</v>
      </c>
      <c r="AD56" s="310" t="s">
        <v>38</v>
      </c>
      <c r="AE56" s="307" t="s">
        <v>98</v>
      </c>
      <c r="AF56" s="307" t="s">
        <v>98</v>
      </c>
      <c r="AG56" s="245">
        <v>196.126</v>
      </c>
      <c r="AH56" s="246">
        <v>200.166</v>
      </c>
      <c r="AI56" s="71">
        <v>6.4</v>
      </c>
      <c r="AJ56" s="39">
        <v>1460</v>
      </c>
      <c r="AK56" s="71">
        <v>5.2</v>
      </c>
      <c r="AL56" s="39">
        <v>1630</v>
      </c>
      <c r="AM56" s="330">
        <f t="shared" si="4"/>
        <v>198.14600000000002</v>
      </c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</row>
    <row r="57" spans="1:65" ht="17" x14ac:dyDescent="0.2">
      <c r="A57" s="33"/>
      <c r="B57" s="33" t="str">
        <f>CONCATENATE(C57,"-",D57,"-",$E57,"-",F57,,"-",G57,"-",H57)</f>
        <v>H325-QC-EMS-SURF-B-2</v>
      </c>
      <c r="C57" s="42" t="s">
        <v>77</v>
      </c>
      <c r="D57" s="68" t="s">
        <v>6</v>
      </c>
      <c r="E57" s="41" t="s">
        <v>5</v>
      </c>
      <c r="F57" s="41" t="s">
        <v>45</v>
      </c>
      <c r="G57" s="196" t="s">
        <v>79</v>
      </c>
      <c r="H57" s="41" t="s">
        <v>136</v>
      </c>
      <c r="I57" s="77" t="s">
        <v>228</v>
      </c>
      <c r="J57" s="69" t="s">
        <v>227</v>
      </c>
      <c r="K57" s="69"/>
      <c r="L57" s="312"/>
      <c r="M57" s="247"/>
      <c r="N57" s="158"/>
      <c r="O57" s="158"/>
      <c r="P57" s="197"/>
      <c r="Q57" s="304" t="s">
        <v>226</v>
      </c>
      <c r="R57" s="305" t="s">
        <v>7</v>
      </c>
      <c r="S57" s="305">
        <v>0.15</v>
      </c>
      <c r="T57" s="306">
        <v>22.15</v>
      </c>
      <c r="U57" s="306">
        <v>40.9</v>
      </c>
      <c r="V57" s="250">
        <v>57.9</v>
      </c>
      <c r="W57" s="306">
        <v>50.85</v>
      </c>
      <c r="X57" s="306">
        <v>43.6</v>
      </c>
      <c r="Y57" s="306" t="s">
        <v>98</v>
      </c>
      <c r="Z57" s="306" t="s">
        <v>98</v>
      </c>
      <c r="AA57" s="307" t="s">
        <v>98</v>
      </c>
      <c r="AB57" s="80"/>
      <c r="AC57" s="309">
        <v>108</v>
      </c>
      <c r="AD57" s="310" t="s">
        <v>38</v>
      </c>
      <c r="AE57" s="307" t="s">
        <v>98</v>
      </c>
      <c r="AF57" s="307" t="s">
        <v>98</v>
      </c>
      <c r="AG57" s="245">
        <v>237.88900000000001</v>
      </c>
      <c r="AH57" s="246">
        <v>242.89599999999999</v>
      </c>
      <c r="AI57" s="71">
        <v>5.64</v>
      </c>
      <c r="AJ57" s="39">
        <v>1470</v>
      </c>
      <c r="AK57" s="71">
        <v>4.3</v>
      </c>
      <c r="AL57" s="39">
        <v>1130</v>
      </c>
      <c r="AM57" s="330">
        <f t="shared" si="4"/>
        <v>240.39249999999998</v>
      </c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</row>
    <row r="58" spans="1:65" x14ac:dyDescent="0.2">
      <c r="A58" s="33"/>
      <c r="B58" s="33" t="str">
        <f t="shared" si="3"/>
        <v>H325-QC-EMS-SURF-C-2</v>
      </c>
      <c r="C58" s="42" t="s">
        <v>77</v>
      </c>
      <c r="D58" s="68" t="s">
        <v>6</v>
      </c>
      <c r="E58" s="41" t="s">
        <v>5</v>
      </c>
      <c r="F58" s="41" t="s">
        <v>45</v>
      </c>
      <c r="G58" s="41" t="s">
        <v>82</v>
      </c>
      <c r="H58" s="196" t="s">
        <v>136</v>
      </c>
      <c r="I58" s="257" t="s">
        <v>231</v>
      </c>
      <c r="J58" s="34" t="s">
        <v>229</v>
      </c>
      <c r="K58" s="34"/>
      <c r="L58" s="312" t="s">
        <v>232</v>
      </c>
      <c r="M58" s="247"/>
      <c r="N58" s="158"/>
      <c r="O58" s="64"/>
      <c r="P58" s="39"/>
      <c r="Q58" s="320" t="s">
        <v>230</v>
      </c>
      <c r="R58" s="305" t="s">
        <v>7</v>
      </c>
      <c r="S58" s="305">
        <v>0.15</v>
      </c>
      <c r="T58" s="306">
        <v>22.15</v>
      </c>
      <c r="U58" s="306">
        <v>40.9</v>
      </c>
      <c r="V58" s="250">
        <v>57.9</v>
      </c>
      <c r="W58" s="306">
        <v>50.85</v>
      </c>
      <c r="X58" s="250">
        <v>40.880000000000003</v>
      </c>
      <c r="Y58" s="306" t="s">
        <v>98</v>
      </c>
      <c r="Z58" s="306" t="s">
        <v>98</v>
      </c>
      <c r="AA58" s="311">
        <v>51.05</v>
      </c>
      <c r="AB58" s="80"/>
      <c r="AC58" s="309">
        <v>108</v>
      </c>
      <c r="AD58" s="310" t="s">
        <v>38</v>
      </c>
      <c r="AE58" s="42">
        <v>1.64</v>
      </c>
      <c r="AF58" s="42">
        <v>6.92</v>
      </c>
      <c r="AG58" s="245">
        <v>215.07900000000001</v>
      </c>
      <c r="AH58" s="246">
        <v>219.68100000000001</v>
      </c>
      <c r="AI58" s="71">
        <v>7.91</v>
      </c>
      <c r="AJ58" s="39">
        <v>1440</v>
      </c>
      <c r="AK58" s="71">
        <v>4.3499999999999996</v>
      </c>
      <c r="AL58" s="39">
        <v>1130</v>
      </c>
      <c r="AM58" s="330">
        <f t="shared" si="4"/>
        <v>217.38</v>
      </c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</row>
    <row r="59" spans="1:65" x14ac:dyDescent="0.2">
      <c r="A59" s="33"/>
      <c r="B59" s="33" t="str">
        <f t="shared" si="3"/>
        <v>-----</v>
      </c>
      <c r="C59" s="42"/>
      <c r="D59" s="68"/>
      <c r="E59" s="68"/>
      <c r="F59" s="41"/>
      <c r="G59" s="196"/>
      <c r="H59" s="196"/>
      <c r="I59" s="77"/>
      <c r="J59" s="34"/>
      <c r="K59" s="34"/>
      <c r="L59" s="312"/>
      <c r="M59" s="38"/>
      <c r="N59" s="64"/>
      <c r="O59" s="64"/>
      <c r="P59" s="39"/>
      <c r="Q59" s="251"/>
      <c r="R59" s="216"/>
      <c r="S59" s="252"/>
      <c r="T59" s="252"/>
      <c r="U59" s="252"/>
      <c r="V59" s="252"/>
      <c r="W59" s="252"/>
      <c r="X59" s="252"/>
      <c r="Y59" s="252"/>
      <c r="Z59" s="252"/>
      <c r="AA59" s="253"/>
      <c r="AB59" s="255"/>
      <c r="AC59" s="256"/>
      <c r="AD59" s="253"/>
      <c r="AE59" s="254"/>
      <c r="AF59" s="254"/>
      <c r="AG59" s="245"/>
      <c r="AH59" s="246"/>
      <c r="AI59" s="71"/>
      <c r="AJ59" s="39"/>
      <c r="AK59" s="71"/>
      <c r="AL59" s="39"/>
      <c r="AM59" s="330" t="e">
        <f t="shared" si="4"/>
        <v>#DIV/0!</v>
      </c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</row>
    <row r="60" spans="1:65" ht="32" x14ac:dyDescent="0.2">
      <c r="A60" s="33"/>
      <c r="B60" s="33" t="str">
        <f t="shared" si="3"/>
        <v>---BDS-SURF-1</v>
      </c>
      <c r="C60" s="42"/>
      <c r="D60" s="68"/>
      <c r="E60" s="68"/>
      <c r="F60" s="41" t="s">
        <v>52</v>
      </c>
      <c r="G60" s="196" t="s">
        <v>45</v>
      </c>
      <c r="H60" s="196" t="s">
        <v>54</v>
      </c>
      <c r="I60" s="77" t="s">
        <v>235</v>
      </c>
      <c r="J60" s="34" t="s">
        <v>234</v>
      </c>
      <c r="K60" s="34" t="s">
        <v>236</v>
      </c>
      <c r="L60" s="312" t="s">
        <v>233</v>
      </c>
      <c r="M60" s="38">
        <v>20</v>
      </c>
      <c r="N60" s="64">
        <v>21.6</v>
      </c>
      <c r="O60" s="64">
        <v>45.1</v>
      </c>
      <c r="P60" s="39"/>
      <c r="Q60" s="36" t="s">
        <v>63</v>
      </c>
      <c r="R60" s="63" t="s">
        <v>7</v>
      </c>
      <c r="S60" s="63">
        <v>0.15</v>
      </c>
      <c r="T60" s="37">
        <v>25.25</v>
      </c>
      <c r="U60" s="37">
        <v>55</v>
      </c>
      <c r="V60" s="37">
        <v>69</v>
      </c>
      <c r="W60" s="37">
        <v>50.85</v>
      </c>
      <c r="X60" s="37">
        <v>66.349999999999994</v>
      </c>
      <c r="Y60" s="37" t="s">
        <v>98</v>
      </c>
      <c r="Z60" s="37" t="s">
        <v>98</v>
      </c>
      <c r="AA60" s="59">
        <v>53.75</v>
      </c>
      <c r="AB60" s="80"/>
      <c r="AC60" s="309">
        <v>108</v>
      </c>
      <c r="AD60" s="310" t="s">
        <v>38</v>
      </c>
      <c r="AE60" s="42">
        <v>1.64</v>
      </c>
      <c r="AF60" s="42">
        <v>6.92</v>
      </c>
      <c r="AG60" s="245">
        <v>91.453999999999994</v>
      </c>
      <c r="AH60" s="246">
        <v>94.563000000000002</v>
      </c>
      <c r="AI60" s="71">
        <v>5.41</v>
      </c>
      <c r="AJ60" s="39">
        <v>4540</v>
      </c>
      <c r="AK60" s="71">
        <v>4.47</v>
      </c>
      <c r="AL60" s="39">
        <v>4490</v>
      </c>
      <c r="AM60" s="330">
        <f t="shared" si="4"/>
        <v>93.008499999999998</v>
      </c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</row>
    <row r="61" spans="1:65" x14ac:dyDescent="0.2">
      <c r="A61" s="33"/>
      <c r="B61" s="33" t="str">
        <f t="shared" si="3"/>
        <v>---BDS-SURF-2</v>
      </c>
      <c r="C61" s="42"/>
      <c r="D61" s="68"/>
      <c r="E61" s="68"/>
      <c r="F61" s="41" t="s">
        <v>52</v>
      </c>
      <c r="G61" s="196" t="s">
        <v>45</v>
      </c>
      <c r="H61" s="196" t="s">
        <v>136</v>
      </c>
      <c r="I61" s="77" t="s">
        <v>242</v>
      </c>
      <c r="J61" s="34" t="s">
        <v>171</v>
      </c>
      <c r="K61" s="34" t="s">
        <v>100</v>
      </c>
      <c r="L61" s="312"/>
      <c r="M61" s="38">
        <v>20</v>
      </c>
      <c r="N61" s="64">
        <v>21.6</v>
      </c>
      <c r="O61" s="64">
        <v>43.8</v>
      </c>
      <c r="P61" s="39"/>
      <c r="Q61" s="36" t="s">
        <v>63</v>
      </c>
      <c r="R61" s="63" t="s">
        <v>7</v>
      </c>
      <c r="S61" s="63">
        <v>0.15</v>
      </c>
      <c r="T61" s="37">
        <v>25.25</v>
      </c>
      <c r="U61" s="37">
        <v>55</v>
      </c>
      <c r="V61" s="37">
        <v>69</v>
      </c>
      <c r="W61" s="37">
        <v>50.85</v>
      </c>
      <c r="X61" s="37">
        <v>66.349999999999994</v>
      </c>
      <c r="Y61" s="37" t="s">
        <v>98</v>
      </c>
      <c r="Z61" s="37" t="s">
        <v>98</v>
      </c>
      <c r="AA61" s="59">
        <v>53.75</v>
      </c>
      <c r="AB61" s="80"/>
      <c r="AC61" s="309">
        <v>108</v>
      </c>
      <c r="AD61" s="310" t="s">
        <v>38</v>
      </c>
      <c r="AE61" s="42">
        <v>1.64</v>
      </c>
      <c r="AF61" s="42">
        <v>6.92</v>
      </c>
      <c r="AG61" s="245">
        <v>37.018999999999998</v>
      </c>
      <c r="AH61" s="246">
        <v>38.256999999999998</v>
      </c>
      <c r="AI61" s="71">
        <v>4.93</v>
      </c>
      <c r="AJ61" s="39">
        <v>4470</v>
      </c>
      <c r="AK61" s="71">
        <v>4.4000000000000004</v>
      </c>
      <c r="AL61" s="39">
        <v>4490</v>
      </c>
      <c r="AM61" s="330">
        <f t="shared" si="4"/>
        <v>37.637999999999998</v>
      </c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</row>
    <row r="62" spans="1:65" x14ac:dyDescent="0.2">
      <c r="A62" s="33"/>
      <c r="B62" s="33" t="str">
        <f t="shared" si="3"/>
        <v>-----</v>
      </c>
      <c r="C62" s="42"/>
      <c r="D62" s="68"/>
      <c r="E62" s="68"/>
      <c r="F62" s="41"/>
      <c r="G62" s="196"/>
      <c r="H62" s="41"/>
      <c r="I62" s="77"/>
      <c r="J62" s="34"/>
      <c r="K62" s="34"/>
      <c r="L62" s="312"/>
      <c r="M62" s="38"/>
      <c r="N62" s="64"/>
      <c r="O62" s="64"/>
      <c r="P62" s="39"/>
      <c r="Q62" s="36"/>
      <c r="R62" s="63"/>
      <c r="S62" s="63"/>
      <c r="T62" s="37"/>
      <c r="U62" s="37"/>
      <c r="V62" s="37"/>
      <c r="W62" s="37"/>
      <c r="X62" s="37"/>
      <c r="Y62" s="37"/>
      <c r="Z62" s="37"/>
      <c r="AA62" s="59"/>
      <c r="AB62" s="80"/>
      <c r="AC62" s="65"/>
      <c r="AD62" s="42"/>
      <c r="AE62" s="42"/>
      <c r="AF62" s="42"/>
      <c r="AG62" s="245"/>
      <c r="AH62" s="246"/>
      <c r="AI62" s="71"/>
      <c r="AJ62" s="39"/>
      <c r="AK62" s="71"/>
      <c r="AL62" s="39"/>
      <c r="AM62" s="330" t="e">
        <f t="shared" si="4"/>
        <v>#DIV/0!</v>
      </c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</row>
    <row r="63" spans="1:65" ht="48" x14ac:dyDescent="0.2">
      <c r="A63" s="33"/>
      <c r="B63" s="33" t="str">
        <f t="shared" si="3"/>
        <v>KM2112-2-1-16--A</v>
      </c>
      <c r="C63" s="42" t="s">
        <v>192</v>
      </c>
      <c r="D63" s="68">
        <v>2</v>
      </c>
      <c r="E63" s="68">
        <v>1</v>
      </c>
      <c r="F63" s="41" t="s">
        <v>104</v>
      </c>
      <c r="G63" s="41"/>
      <c r="H63" s="41" t="s">
        <v>78</v>
      </c>
      <c r="I63" s="257" t="s">
        <v>245</v>
      </c>
      <c r="J63" s="34" t="s">
        <v>127</v>
      </c>
      <c r="K63" s="34" t="s">
        <v>243</v>
      </c>
      <c r="L63" s="312" t="s">
        <v>255</v>
      </c>
      <c r="M63" s="38">
        <v>20</v>
      </c>
      <c r="N63" s="64">
        <v>21.6</v>
      </c>
      <c r="O63" s="64">
        <v>39.700000000000003</v>
      </c>
      <c r="P63" s="39"/>
      <c r="Q63" s="36" t="s">
        <v>63</v>
      </c>
      <c r="R63" s="63" t="s">
        <v>7</v>
      </c>
      <c r="S63" s="63">
        <v>0.15</v>
      </c>
      <c r="T63" s="37">
        <v>25.25</v>
      </c>
      <c r="U63" s="37">
        <v>55</v>
      </c>
      <c r="V63" s="37">
        <v>69</v>
      </c>
      <c r="W63" s="37">
        <v>50.85</v>
      </c>
      <c r="X63" s="37">
        <v>66.349999999999994</v>
      </c>
      <c r="Y63" s="37" t="s">
        <v>98</v>
      </c>
      <c r="Z63" s="37" t="s">
        <v>98</v>
      </c>
      <c r="AA63" s="59">
        <v>53.75</v>
      </c>
      <c r="AB63" s="80"/>
      <c r="AC63" s="65">
        <v>108</v>
      </c>
      <c r="AD63" s="42" t="s">
        <v>38</v>
      </c>
      <c r="AE63" s="42">
        <v>1.64</v>
      </c>
      <c r="AF63" s="42">
        <v>6.92</v>
      </c>
      <c r="AG63" s="245">
        <v>108.556</v>
      </c>
      <c r="AH63" s="246">
        <v>110.738</v>
      </c>
      <c r="AI63" s="71">
        <v>8.0399999999999991</v>
      </c>
      <c r="AJ63" s="39">
        <v>4270</v>
      </c>
      <c r="AK63" s="71">
        <v>4.3</v>
      </c>
      <c r="AL63" s="39">
        <v>4450</v>
      </c>
      <c r="AM63" s="330">
        <f t="shared" si="4"/>
        <v>109.64699999999999</v>
      </c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</row>
    <row r="64" spans="1:65" x14ac:dyDescent="0.2">
      <c r="A64" s="33"/>
      <c r="B64" s="33" t="str">
        <f t="shared" si="3"/>
        <v>KM2112-2-1-16--B</v>
      </c>
      <c r="C64" s="42" t="s">
        <v>192</v>
      </c>
      <c r="D64" s="68">
        <v>2</v>
      </c>
      <c r="E64" s="68">
        <v>1</v>
      </c>
      <c r="F64" s="41" t="s">
        <v>104</v>
      </c>
      <c r="G64" s="196"/>
      <c r="H64" s="196" t="s">
        <v>79</v>
      </c>
      <c r="I64" s="257" t="s">
        <v>244</v>
      </c>
      <c r="J64" s="34" t="s">
        <v>172</v>
      </c>
      <c r="K64" s="34"/>
      <c r="L64" s="312"/>
      <c r="M64" s="38"/>
      <c r="N64" s="64"/>
      <c r="O64" s="64"/>
      <c r="P64" s="39"/>
      <c r="Q64" s="304" t="s">
        <v>246</v>
      </c>
      <c r="R64" s="305" t="s">
        <v>7</v>
      </c>
      <c r="S64" s="305">
        <v>0.15</v>
      </c>
      <c r="T64" s="306">
        <v>23</v>
      </c>
      <c r="U64" s="306">
        <v>40.9</v>
      </c>
      <c r="V64" s="250">
        <v>61.45</v>
      </c>
      <c r="W64" s="306">
        <v>50.85</v>
      </c>
      <c r="X64" s="250">
        <v>40.880000000000003</v>
      </c>
      <c r="Y64" s="306" t="s">
        <v>98</v>
      </c>
      <c r="Z64" s="306" t="s">
        <v>98</v>
      </c>
      <c r="AA64" s="59">
        <v>51.05</v>
      </c>
      <c r="AB64" s="80"/>
      <c r="AC64" s="309">
        <v>108</v>
      </c>
      <c r="AD64" s="310" t="s">
        <v>38</v>
      </c>
      <c r="AE64" s="42">
        <v>1.64</v>
      </c>
      <c r="AF64" s="42">
        <v>6.92</v>
      </c>
      <c r="AG64" s="245">
        <v>203.15899999999999</v>
      </c>
      <c r="AH64" s="246">
        <v>207.47900000000001</v>
      </c>
      <c r="AI64" s="71"/>
      <c r="AJ64" s="39"/>
      <c r="AK64" s="71"/>
      <c r="AL64" s="39"/>
      <c r="AM64" s="330">
        <f t="shared" si="4"/>
        <v>205.31900000000002</v>
      </c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</row>
    <row r="65" spans="1:65" x14ac:dyDescent="0.2">
      <c r="A65" s="33"/>
      <c r="B65" s="33" t="str">
        <f t="shared" si="3"/>
        <v>KM2112-2-1-13--A</v>
      </c>
      <c r="C65" s="42" t="s">
        <v>192</v>
      </c>
      <c r="D65" s="68">
        <v>2</v>
      </c>
      <c r="E65" s="68">
        <v>1</v>
      </c>
      <c r="F65" s="41" t="s">
        <v>139</v>
      </c>
      <c r="G65" s="196"/>
      <c r="H65" s="41" t="s">
        <v>78</v>
      </c>
      <c r="I65" s="77" t="s">
        <v>253</v>
      </c>
      <c r="J65" s="34" t="s">
        <v>254</v>
      </c>
      <c r="K65" s="34" t="s">
        <v>256</v>
      </c>
      <c r="L65" s="312"/>
      <c r="M65" s="38">
        <v>20</v>
      </c>
      <c r="N65" s="64">
        <v>21.6</v>
      </c>
      <c r="O65" s="64">
        <v>40</v>
      </c>
      <c r="P65" s="39"/>
      <c r="Q65" s="36" t="s">
        <v>63</v>
      </c>
      <c r="R65" s="63" t="s">
        <v>7</v>
      </c>
      <c r="S65" s="63">
        <v>0.15</v>
      </c>
      <c r="T65" s="37">
        <v>25.25</v>
      </c>
      <c r="U65" s="37">
        <v>55</v>
      </c>
      <c r="V65" s="37">
        <v>69</v>
      </c>
      <c r="W65" s="37">
        <v>50.85</v>
      </c>
      <c r="X65" s="37">
        <v>66.349999999999994</v>
      </c>
      <c r="Y65" s="37" t="s">
        <v>98</v>
      </c>
      <c r="Z65" s="37" t="s">
        <v>98</v>
      </c>
      <c r="AA65" s="59">
        <v>53.75</v>
      </c>
      <c r="AB65" s="80"/>
      <c r="AC65" s="65">
        <v>108</v>
      </c>
      <c r="AD65" s="42" t="s">
        <v>38</v>
      </c>
      <c r="AE65" s="42">
        <v>1.64</v>
      </c>
      <c r="AF65" s="42">
        <v>6.92</v>
      </c>
      <c r="AG65" s="245">
        <v>99.21</v>
      </c>
      <c r="AH65" s="246">
        <v>101.254</v>
      </c>
      <c r="AI65" s="71">
        <v>5.45</v>
      </c>
      <c r="AJ65" s="39">
        <v>4510</v>
      </c>
      <c r="AK65" s="71">
        <v>4.9800000000000004</v>
      </c>
      <c r="AL65" s="39">
        <v>4540</v>
      </c>
      <c r="AM65" s="330">
        <f t="shared" si="4"/>
        <v>100.232</v>
      </c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</row>
    <row r="66" spans="1:65" x14ac:dyDescent="0.2">
      <c r="A66" s="33"/>
      <c r="B66" s="33" t="str">
        <f t="shared" si="3"/>
        <v>KM2112-2-1-13--B</v>
      </c>
      <c r="C66" s="42" t="s">
        <v>192</v>
      </c>
      <c r="D66" s="68">
        <v>2</v>
      </c>
      <c r="E66" s="68">
        <v>1</v>
      </c>
      <c r="F66" s="41" t="s">
        <v>139</v>
      </c>
      <c r="G66" s="196"/>
      <c r="H66" s="196" t="s">
        <v>79</v>
      </c>
      <c r="I66" s="77" t="s">
        <v>257</v>
      </c>
      <c r="J66" s="34" t="s">
        <v>131</v>
      </c>
      <c r="K66" s="34"/>
      <c r="L66" s="312"/>
      <c r="M66" s="38"/>
      <c r="N66" s="64"/>
      <c r="O66" s="64"/>
      <c r="P66" s="39"/>
      <c r="Q66" s="321" t="s">
        <v>246</v>
      </c>
      <c r="R66" s="322" t="s">
        <v>7</v>
      </c>
      <c r="S66" s="322">
        <v>0.15</v>
      </c>
      <c r="T66" s="323">
        <v>23</v>
      </c>
      <c r="U66" s="323">
        <v>40.9</v>
      </c>
      <c r="V66" s="323">
        <v>61.45</v>
      </c>
      <c r="W66" s="323">
        <v>50.85</v>
      </c>
      <c r="X66" s="323">
        <v>40.880000000000003</v>
      </c>
      <c r="Y66" s="323" t="s">
        <v>98</v>
      </c>
      <c r="Z66" s="323" t="s">
        <v>98</v>
      </c>
      <c r="AA66" s="324">
        <v>51.05</v>
      </c>
      <c r="AB66" s="80"/>
      <c r="AC66" s="309">
        <v>108</v>
      </c>
      <c r="AD66" s="310" t="s">
        <v>38</v>
      </c>
      <c r="AE66" s="42">
        <v>1.64</v>
      </c>
      <c r="AF66" s="42">
        <v>6.92</v>
      </c>
      <c r="AG66" s="245">
        <v>194.15700000000001</v>
      </c>
      <c r="AH66" s="246">
        <v>198.33500000000001</v>
      </c>
      <c r="AI66" s="71"/>
      <c r="AJ66" s="39"/>
      <c r="AK66" s="71"/>
      <c r="AL66" s="39"/>
      <c r="AM66" s="330">
        <f t="shared" si="4"/>
        <v>196.24600000000001</v>
      </c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</row>
    <row r="67" spans="1:65" ht="17" customHeight="1" x14ac:dyDescent="0.2">
      <c r="A67" s="33"/>
      <c r="B67" s="33" t="str">
        <f t="shared" si="3"/>
        <v>KM2112-2-1-10--A</v>
      </c>
      <c r="C67" s="42" t="s">
        <v>192</v>
      </c>
      <c r="D67" s="68">
        <v>2</v>
      </c>
      <c r="E67" s="68">
        <v>1</v>
      </c>
      <c r="F67" s="41" t="s">
        <v>61</v>
      </c>
      <c r="G67" s="196"/>
      <c r="H67" s="41" t="s">
        <v>78</v>
      </c>
      <c r="I67" s="77" t="s">
        <v>258</v>
      </c>
      <c r="J67" s="34" t="s">
        <v>259</v>
      </c>
      <c r="K67" s="34" t="s">
        <v>260</v>
      </c>
      <c r="L67" s="312"/>
      <c r="M67" s="38">
        <v>20</v>
      </c>
      <c r="N67" s="64">
        <v>21.6</v>
      </c>
      <c r="O67" s="64">
        <v>39.9</v>
      </c>
      <c r="P67" s="39"/>
      <c r="Q67" s="36" t="s">
        <v>63</v>
      </c>
      <c r="R67" s="63" t="s">
        <v>7</v>
      </c>
      <c r="S67" s="63">
        <v>0.15</v>
      </c>
      <c r="T67" s="37">
        <v>25.25</v>
      </c>
      <c r="U67" s="37">
        <v>55</v>
      </c>
      <c r="V67" s="37">
        <v>69</v>
      </c>
      <c r="W67" s="37">
        <v>50.85</v>
      </c>
      <c r="X67" s="37">
        <v>66.349999999999994</v>
      </c>
      <c r="Y67" s="37" t="s">
        <v>98</v>
      </c>
      <c r="Z67" s="37" t="s">
        <v>98</v>
      </c>
      <c r="AA67" s="59">
        <v>53.75</v>
      </c>
      <c r="AB67" s="80"/>
      <c r="AC67" s="65">
        <v>108</v>
      </c>
      <c r="AD67" s="42" t="s">
        <v>38</v>
      </c>
      <c r="AE67" s="42">
        <v>1.64</v>
      </c>
      <c r="AF67" s="42">
        <v>6.92</v>
      </c>
      <c r="AG67" s="245">
        <v>99.715000000000003</v>
      </c>
      <c r="AH67" s="246">
        <v>101.822</v>
      </c>
      <c r="AI67" s="71">
        <v>5.42</v>
      </c>
      <c r="AJ67" s="39">
        <v>4530</v>
      </c>
      <c r="AK67" s="71">
        <v>5.09</v>
      </c>
      <c r="AL67" s="39">
        <v>4570</v>
      </c>
      <c r="AM67" s="330">
        <f>AVERAGE(AG67:AH67)</f>
        <v>100.7685</v>
      </c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</row>
    <row r="68" spans="1:65" x14ac:dyDescent="0.2">
      <c r="A68" s="33"/>
      <c r="B68" s="33" t="str">
        <f t="shared" si="3"/>
        <v>KM2112-2-1-10--B</v>
      </c>
      <c r="C68" s="42" t="s">
        <v>192</v>
      </c>
      <c r="D68" s="68">
        <v>2</v>
      </c>
      <c r="E68" s="68">
        <v>1</v>
      </c>
      <c r="F68" s="41" t="s">
        <v>61</v>
      </c>
      <c r="G68" s="41"/>
      <c r="H68" s="196" t="s">
        <v>79</v>
      </c>
      <c r="I68" s="77" t="s">
        <v>262</v>
      </c>
      <c r="J68" s="34" t="s">
        <v>261</v>
      </c>
      <c r="K68" s="34"/>
      <c r="L68" s="312"/>
      <c r="M68" s="38"/>
      <c r="N68" s="64"/>
      <c r="O68" s="64"/>
      <c r="P68" s="39"/>
      <c r="Q68" s="321" t="s">
        <v>246</v>
      </c>
      <c r="R68" s="322" t="s">
        <v>7</v>
      </c>
      <c r="S68" s="322">
        <v>0.15</v>
      </c>
      <c r="T68" s="323">
        <v>23</v>
      </c>
      <c r="U68" s="323">
        <v>40.9</v>
      </c>
      <c r="V68" s="323">
        <v>61.45</v>
      </c>
      <c r="W68" s="323">
        <v>50.85</v>
      </c>
      <c r="X68" s="323">
        <v>40.880000000000003</v>
      </c>
      <c r="Y68" s="323" t="s">
        <v>98</v>
      </c>
      <c r="Z68" s="323" t="s">
        <v>98</v>
      </c>
      <c r="AA68" s="324">
        <v>51.05</v>
      </c>
      <c r="AB68" s="80"/>
      <c r="AC68" s="309">
        <v>108</v>
      </c>
      <c r="AD68" s="310" t="s">
        <v>38</v>
      </c>
      <c r="AE68" s="42">
        <v>1.64</v>
      </c>
      <c r="AF68" s="42">
        <v>6.92</v>
      </c>
      <c r="AG68" s="245">
        <v>194.21600000000001</v>
      </c>
      <c r="AH68" s="246">
        <v>198.43100000000001</v>
      </c>
      <c r="AI68" s="71"/>
      <c r="AJ68" s="39"/>
      <c r="AK68" s="71"/>
      <c r="AL68" s="39"/>
      <c r="AM68" s="330">
        <f t="shared" si="4"/>
        <v>196.32350000000002</v>
      </c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</row>
    <row r="69" spans="1:65" x14ac:dyDescent="0.2">
      <c r="A69" s="33"/>
      <c r="B69" s="33" t="str">
        <f t="shared" si="3"/>
        <v>KM2112-2-1-7--A</v>
      </c>
      <c r="C69" s="42" t="s">
        <v>192</v>
      </c>
      <c r="D69" s="68">
        <v>2</v>
      </c>
      <c r="E69" s="68">
        <v>1</v>
      </c>
      <c r="F69" s="41" t="s">
        <v>150</v>
      </c>
      <c r="G69" s="41"/>
      <c r="H69" s="41" t="s">
        <v>78</v>
      </c>
      <c r="I69" s="77" t="s">
        <v>263</v>
      </c>
      <c r="J69" s="34" t="s">
        <v>264</v>
      </c>
      <c r="K69" s="34"/>
      <c r="L69" s="312"/>
      <c r="M69" s="38"/>
      <c r="N69" s="64"/>
      <c r="O69" s="64"/>
      <c r="P69" s="39"/>
      <c r="Q69" s="36" t="s">
        <v>63</v>
      </c>
      <c r="R69" s="63" t="s">
        <v>7</v>
      </c>
      <c r="S69" s="63">
        <v>0.15</v>
      </c>
      <c r="T69" s="37">
        <v>25.25</v>
      </c>
      <c r="U69" s="37">
        <v>55</v>
      </c>
      <c r="V69" s="37">
        <v>69</v>
      </c>
      <c r="W69" s="37">
        <v>50.85</v>
      </c>
      <c r="X69" s="37">
        <v>66.349999999999994</v>
      </c>
      <c r="Y69" s="37" t="s">
        <v>98</v>
      </c>
      <c r="Z69" s="37" t="s">
        <v>98</v>
      </c>
      <c r="AA69" s="59">
        <v>53.75</v>
      </c>
      <c r="AB69" s="80"/>
      <c r="AC69" s="65">
        <v>108</v>
      </c>
      <c r="AD69" s="42" t="s">
        <v>38</v>
      </c>
      <c r="AE69" s="42">
        <v>1.64</v>
      </c>
      <c r="AF69" s="42">
        <v>6.92</v>
      </c>
      <c r="AG69" s="245">
        <v>99.495999999999995</v>
      </c>
      <c r="AH69" s="246">
        <v>101.57899999999999</v>
      </c>
      <c r="AI69" s="71">
        <v>6</v>
      </c>
      <c r="AJ69" s="39">
        <v>4500</v>
      </c>
      <c r="AK69" s="71">
        <v>4.7699999999999996</v>
      </c>
      <c r="AL69" s="39">
        <v>4560</v>
      </c>
      <c r="AM69" s="330">
        <f t="shared" si="4"/>
        <v>100.53749999999999</v>
      </c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</row>
    <row r="70" spans="1:65" x14ac:dyDescent="0.2">
      <c r="A70" s="33"/>
      <c r="B70" s="33" t="str">
        <f t="shared" si="3"/>
        <v>KM2112-2-1-7--B</v>
      </c>
      <c r="C70" s="42" t="s">
        <v>192</v>
      </c>
      <c r="D70" s="68">
        <v>2</v>
      </c>
      <c r="E70" s="68">
        <v>1</v>
      </c>
      <c r="F70" s="41" t="s">
        <v>150</v>
      </c>
      <c r="G70" s="41"/>
      <c r="H70" s="196" t="s">
        <v>79</v>
      </c>
      <c r="I70" s="77" t="s">
        <v>266</v>
      </c>
      <c r="J70" s="34" t="s">
        <v>133</v>
      </c>
      <c r="K70" s="34"/>
      <c r="L70" s="312"/>
      <c r="M70" s="38"/>
      <c r="N70" s="64"/>
      <c r="O70" s="64"/>
      <c r="P70" s="39"/>
      <c r="Q70" s="321" t="s">
        <v>246</v>
      </c>
      <c r="R70" s="322" t="s">
        <v>7</v>
      </c>
      <c r="S70" s="322">
        <v>0.15</v>
      </c>
      <c r="T70" s="323">
        <v>23</v>
      </c>
      <c r="U70" s="323">
        <v>40.9</v>
      </c>
      <c r="V70" s="323">
        <v>61.45</v>
      </c>
      <c r="W70" s="323">
        <v>50.85</v>
      </c>
      <c r="X70" s="323">
        <v>40.880000000000003</v>
      </c>
      <c r="Y70" s="323" t="s">
        <v>98</v>
      </c>
      <c r="Z70" s="323" t="s">
        <v>98</v>
      </c>
      <c r="AA70" s="324">
        <v>51.05</v>
      </c>
      <c r="AB70" s="80"/>
      <c r="AC70" s="309">
        <v>108</v>
      </c>
      <c r="AD70" s="310" t="s">
        <v>38</v>
      </c>
      <c r="AE70" s="42">
        <v>1.64</v>
      </c>
      <c r="AF70" s="42">
        <v>6.92</v>
      </c>
      <c r="AG70" s="245">
        <v>194.51300000000001</v>
      </c>
      <c r="AH70" s="246">
        <v>198.68600000000001</v>
      </c>
      <c r="AI70" s="71"/>
      <c r="AJ70" s="39"/>
      <c r="AK70" s="71"/>
      <c r="AL70" s="39"/>
      <c r="AM70" s="330">
        <f t="shared" si="4"/>
        <v>196.59950000000001</v>
      </c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</row>
    <row r="71" spans="1:65" x14ac:dyDescent="0.2">
      <c r="A71" s="33"/>
      <c r="B71" s="33" t="str">
        <f t="shared" si="3"/>
        <v>KM2112-2-1-4--A</v>
      </c>
      <c r="C71" s="42" t="s">
        <v>192</v>
      </c>
      <c r="D71" s="68">
        <v>2</v>
      </c>
      <c r="E71" s="68">
        <v>1</v>
      </c>
      <c r="F71" s="41" t="s">
        <v>135</v>
      </c>
      <c r="G71" s="41"/>
      <c r="H71" s="41" t="s">
        <v>78</v>
      </c>
      <c r="I71" s="77" t="s">
        <v>267</v>
      </c>
      <c r="J71" s="34" t="s">
        <v>268</v>
      </c>
      <c r="K71" s="34" t="s">
        <v>106</v>
      </c>
      <c r="L71" s="312"/>
      <c r="M71" s="38">
        <v>20</v>
      </c>
      <c r="N71" s="64">
        <v>21.6</v>
      </c>
      <c r="O71" s="64">
        <v>40.1</v>
      </c>
      <c r="P71" s="39"/>
      <c r="Q71" s="36" t="s">
        <v>63</v>
      </c>
      <c r="R71" s="63" t="s">
        <v>7</v>
      </c>
      <c r="S71" s="63">
        <v>0.15</v>
      </c>
      <c r="T71" s="37">
        <v>25.25</v>
      </c>
      <c r="U71" s="37">
        <v>55</v>
      </c>
      <c r="V71" s="37">
        <v>69</v>
      </c>
      <c r="W71" s="37">
        <v>50.85</v>
      </c>
      <c r="X71" s="37">
        <v>66.349999999999994</v>
      </c>
      <c r="Y71" s="37" t="s">
        <v>98</v>
      </c>
      <c r="Z71" s="37" t="s">
        <v>98</v>
      </c>
      <c r="AA71" s="59">
        <v>53.75</v>
      </c>
      <c r="AB71" s="80"/>
      <c r="AC71" s="65">
        <v>108</v>
      </c>
      <c r="AD71" s="42" t="s">
        <v>38</v>
      </c>
      <c r="AE71" s="42">
        <v>1.64</v>
      </c>
      <c r="AF71" s="42">
        <v>6.92</v>
      </c>
      <c r="AG71" s="245">
        <v>103.253</v>
      </c>
      <c r="AH71" s="246">
        <v>105.40900000000001</v>
      </c>
      <c r="AI71" s="71">
        <v>5.94</v>
      </c>
      <c r="AJ71" s="39">
        <v>4490</v>
      </c>
      <c r="AK71" s="71">
        <v>4.6399999999999997</v>
      </c>
      <c r="AL71" s="39">
        <v>4500</v>
      </c>
      <c r="AM71" s="330">
        <f t="shared" si="4"/>
        <v>104.331</v>
      </c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</row>
    <row r="72" spans="1:65" x14ac:dyDescent="0.2">
      <c r="A72" s="33"/>
      <c r="B72" s="33" t="str">
        <f t="shared" si="3"/>
        <v>KM2112-2-1-4--B</v>
      </c>
      <c r="C72" s="42" t="s">
        <v>192</v>
      </c>
      <c r="D72" s="68">
        <v>2</v>
      </c>
      <c r="E72" s="68">
        <v>1</v>
      </c>
      <c r="F72" s="41" t="s">
        <v>135</v>
      </c>
      <c r="G72" s="41"/>
      <c r="H72" s="196" t="s">
        <v>79</v>
      </c>
      <c r="I72" s="77" t="s">
        <v>269</v>
      </c>
      <c r="J72" s="34" t="s">
        <v>107</v>
      </c>
      <c r="K72" s="34"/>
      <c r="L72" s="312"/>
      <c r="M72" s="38"/>
      <c r="N72" s="64"/>
      <c r="O72" s="64"/>
      <c r="P72" s="39"/>
      <c r="Q72" s="321" t="s">
        <v>246</v>
      </c>
      <c r="R72" s="322" t="s">
        <v>7</v>
      </c>
      <c r="S72" s="322">
        <v>0.15</v>
      </c>
      <c r="T72" s="323">
        <v>23</v>
      </c>
      <c r="U72" s="323">
        <v>40.9</v>
      </c>
      <c r="V72" s="323">
        <v>61.45</v>
      </c>
      <c r="W72" s="323">
        <v>50.85</v>
      </c>
      <c r="X72" s="323">
        <v>40.880000000000003</v>
      </c>
      <c r="Y72" s="323" t="s">
        <v>98</v>
      </c>
      <c r="Z72" s="323" t="s">
        <v>98</v>
      </c>
      <c r="AA72" s="324">
        <v>51.05</v>
      </c>
      <c r="AB72" s="80"/>
      <c r="AC72" s="309">
        <v>108</v>
      </c>
      <c r="AD72" s="310" t="s">
        <v>38</v>
      </c>
      <c r="AE72" s="42">
        <v>1.64</v>
      </c>
      <c r="AF72" s="42">
        <v>6.92</v>
      </c>
      <c r="AG72" s="245">
        <v>196.249</v>
      </c>
      <c r="AH72" s="246">
        <v>200.61199999999999</v>
      </c>
      <c r="AI72" s="71"/>
      <c r="AJ72" s="39"/>
      <c r="AK72" s="71"/>
      <c r="AL72" s="39"/>
      <c r="AM72" s="330">
        <f t="shared" si="4"/>
        <v>198.43049999999999</v>
      </c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</row>
    <row r="73" spans="1:65" ht="32" x14ac:dyDescent="0.2">
      <c r="A73" s="33"/>
      <c r="B73" s="33" t="str">
        <f>CONCATENATE(C73,"-",D73,"-",$E73,"-",F73,,"-",G73,"-",H73)</f>
        <v>KM2112-2-1-1--A</v>
      </c>
      <c r="C73" s="42" t="s">
        <v>192</v>
      </c>
      <c r="D73" s="68">
        <v>2</v>
      </c>
      <c r="E73" s="68">
        <v>1</v>
      </c>
      <c r="F73" s="41" t="s">
        <v>54</v>
      </c>
      <c r="G73" s="41"/>
      <c r="H73" s="41" t="s">
        <v>78</v>
      </c>
      <c r="I73" s="257" t="s">
        <v>272</v>
      </c>
      <c r="J73" s="34" t="s">
        <v>271</v>
      </c>
      <c r="K73" s="34" t="s">
        <v>274</v>
      </c>
      <c r="L73" s="312" t="s">
        <v>273</v>
      </c>
      <c r="M73" s="38">
        <v>20</v>
      </c>
      <c r="N73" s="64">
        <v>21.6</v>
      </c>
      <c r="O73" s="64">
        <v>40</v>
      </c>
      <c r="P73" s="39"/>
      <c r="Q73" s="36" t="s">
        <v>63</v>
      </c>
      <c r="R73" s="63" t="s">
        <v>7</v>
      </c>
      <c r="S73" s="63">
        <v>0.15</v>
      </c>
      <c r="T73" s="37">
        <v>25.25</v>
      </c>
      <c r="U73" s="37">
        <v>55</v>
      </c>
      <c r="V73" s="37">
        <v>69</v>
      </c>
      <c r="W73" s="37">
        <v>50.85</v>
      </c>
      <c r="X73" s="37">
        <v>66.349999999999994</v>
      </c>
      <c r="Y73" s="37" t="s">
        <v>98</v>
      </c>
      <c r="Z73" s="37" t="s">
        <v>98</v>
      </c>
      <c r="AA73" s="59">
        <v>53.75</v>
      </c>
      <c r="AB73" s="80"/>
      <c r="AC73" s="65">
        <v>108</v>
      </c>
      <c r="AD73" s="42" t="s">
        <v>38</v>
      </c>
      <c r="AE73" s="42">
        <v>1.64</v>
      </c>
      <c r="AF73" s="42">
        <v>6.92</v>
      </c>
      <c r="AG73" s="245">
        <v>98.521000000000001</v>
      </c>
      <c r="AH73" s="246">
        <v>100.633</v>
      </c>
      <c r="AI73" s="71">
        <v>5.48</v>
      </c>
      <c r="AJ73" s="39">
        <v>4540</v>
      </c>
      <c r="AK73" s="71">
        <v>4.5999999999999996</v>
      </c>
      <c r="AL73" s="39">
        <v>4520</v>
      </c>
      <c r="AM73" s="330">
        <f t="shared" si="4"/>
        <v>99.576999999999998</v>
      </c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</row>
    <row r="74" spans="1:65" x14ac:dyDescent="0.2">
      <c r="A74" s="33"/>
      <c r="B74" s="33" t="str">
        <f t="shared" si="3"/>
        <v>KM2112-2-1-1--B</v>
      </c>
      <c r="C74" s="42" t="s">
        <v>192</v>
      </c>
      <c r="D74" s="68">
        <v>2</v>
      </c>
      <c r="E74" s="68">
        <v>1</v>
      </c>
      <c r="F74" s="41" t="s">
        <v>54</v>
      </c>
      <c r="G74" s="41"/>
      <c r="H74" s="196" t="s">
        <v>79</v>
      </c>
      <c r="I74" s="77" t="s">
        <v>275</v>
      </c>
      <c r="J74" s="34" t="s">
        <v>108</v>
      </c>
      <c r="K74" s="34"/>
      <c r="L74" s="312"/>
      <c r="M74" s="38"/>
      <c r="N74" s="64"/>
      <c r="O74" s="64"/>
      <c r="P74" s="39"/>
      <c r="Q74" s="304" t="s">
        <v>246</v>
      </c>
      <c r="R74" s="305" t="s">
        <v>7</v>
      </c>
      <c r="S74" s="305">
        <v>0.15</v>
      </c>
      <c r="T74" s="306">
        <v>23</v>
      </c>
      <c r="U74" s="306">
        <v>40.9</v>
      </c>
      <c r="V74" s="306">
        <v>61.45</v>
      </c>
      <c r="W74" s="306">
        <v>50.85</v>
      </c>
      <c r="X74" s="306">
        <v>40.880000000000003</v>
      </c>
      <c r="Y74" s="306" t="s">
        <v>98</v>
      </c>
      <c r="Z74" s="306" t="s">
        <v>98</v>
      </c>
      <c r="AA74" s="307">
        <v>51.05</v>
      </c>
      <c r="AB74" s="80"/>
      <c r="AC74" s="309">
        <v>108</v>
      </c>
      <c r="AD74" s="310" t="s">
        <v>38</v>
      </c>
      <c r="AE74" s="42">
        <v>1.64</v>
      </c>
      <c r="AF74" s="42">
        <v>6.92</v>
      </c>
      <c r="AG74" s="245">
        <v>197.25899999999999</v>
      </c>
      <c r="AH74" s="246">
        <v>201.54599999999999</v>
      </c>
      <c r="AI74" s="71"/>
      <c r="AJ74" s="39"/>
      <c r="AK74" s="71"/>
      <c r="AL74" s="39"/>
      <c r="AM74" s="330">
        <f t="shared" si="4"/>
        <v>199.40249999999997</v>
      </c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</row>
    <row r="75" spans="1:65" x14ac:dyDescent="0.2">
      <c r="A75" s="33"/>
      <c r="B75" s="33" t="str">
        <f t="shared" si="3"/>
        <v>-----</v>
      </c>
      <c r="C75" s="42"/>
      <c r="D75" s="68"/>
      <c r="E75" s="68"/>
      <c r="F75" s="41"/>
      <c r="G75" s="196"/>
      <c r="H75" s="41"/>
      <c r="I75" s="77"/>
      <c r="J75" s="34"/>
      <c r="K75" s="34"/>
      <c r="L75" s="312"/>
      <c r="M75" s="38"/>
      <c r="N75" s="64"/>
      <c r="O75" s="64"/>
      <c r="P75" s="39"/>
      <c r="Q75" s="36"/>
      <c r="R75" s="63"/>
      <c r="S75" s="63"/>
      <c r="T75" s="37"/>
      <c r="U75" s="37"/>
      <c r="V75" s="37"/>
      <c r="W75" s="37"/>
      <c r="X75" s="37"/>
      <c r="Y75" s="37"/>
      <c r="Z75" s="37"/>
      <c r="AA75" s="59"/>
      <c r="AB75" s="80"/>
      <c r="AC75" s="65"/>
      <c r="AD75" s="42"/>
      <c r="AE75" s="42"/>
      <c r="AF75" s="42"/>
      <c r="AG75" s="245"/>
      <c r="AH75" s="246"/>
      <c r="AI75" s="71"/>
      <c r="AJ75" s="39"/>
      <c r="AK75" s="71"/>
      <c r="AL75" s="39"/>
      <c r="AM75" s="330" t="e">
        <f t="shared" si="4"/>
        <v>#DIV/0!</v>
      </c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</row>
    <row r="76" spans="1:65" x14ac:dyDescent="0.2">
      <c r="A76" s="33"/>
      <c r="B76" s="33" t="str">
        <f t="shared" si="3"/>
        <v>---BDS-SURF-3</v>
      </c>
      <c r="C76" s="42"/>
      <c r="D76" s="68"/>
      <c r="E76" s="68"/>
      <c r="F76" s="41" t="s">
        <v>52</v>
      </c>
      <c r="G76" s="196" t="s">
        <v>45</v>
      </c>
      <c r="H76" s="41" t="s">
        <v>59</v>
      </c>
      <c r="I76" s="77" t="s">
        <v>276</v>
      </c>
      <c r="J76" s="34" t="s">
        <v>277</v>
      </c>
      <c r="K76" s="34" t="s">
        <v>278</v>
      </c>
      <c r="L76" s="312" t="s">
        <v>279</v>
      </c>
      <c r="M76" s="38">
        <v>20</v>
      </c>
      <c r="N76" s="64">
        <v>21.6</v>
      </c>
      <c r="O76" s="64">
        <v>44.6</v>
      </c>
      <c r="P76" s="39"/>
      <c r="Q76" s="36" t="s">
        <v>63</v>
      </c>
      <c r="R76" s="63" t="s">
        <v>7</v>
      </c>
      <c r="S76" s="63">
        <v>0.15</v>
      </c>
      <c r="T76" s="37">
        <v>25.25</v>
      </c>
      <c r="U76" s="37">
        <v>55</v>
      </c>
      <c r="V76" s="37">
        <v>69</v>
      </c>
      <c r="W76" s="37">
        <v>50.85</v>
      </c>
      <c r="X76" s="37">
        <v>66.349999999999994</v>
      </c>
      <c r="Y76" s="37" t="s">
        <v>98</v>
      </c>
      <c r="Z76" s="37" t="s">
        <v>98</v>
      </c>
      <c r="AA76" s="59">
        <v>53.75</v>
      </c>
      <c r="AB76" s="80"/>
      <c r="AC76" s="65">
        <v>108</v>
      </c>
      <c r="AD76" s="42" t="s">
        <v>38</v>
      </c>
      <c r="AE76" s="42">
        <v>1.64</v>
      </c>
      <c r="AF76" s="42">
        <v>6.92</v>
      </c>
      <c r="AG76" s="245">
        <v>54.448</v>
      </c>
      <c r="AH76" s="246">
        <v>56.112000000000002</v>
      </c>
      <c r="AI76" s="71">
        <v>4.96</v>
      </c>
      <c r="AJ76" s="39">
        <v>4510</v>
      </c>
      <c r="AK76" s="71">
        <v>4.9000000000000004</v>
      </c>
      <c r="AL76" s="39">
        <v>4470</v>
      </c>
      <c r="AM76" s="330">
        <f t="shared" si="4"/>
        <v>55.28</v>
      </c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</row>
    <row r="77" spans="1:65" x14ac:dyDescent="0.2">
      <c r="A77" s="33"/>
      <c r="B77" s="33" t="str">
        <f t="shared" si="3"/>
        <v>-----</v>
      </c>
      <c r="C77" s="42"/>
      <c r="D77" s="68"/>
      <c r="E77" s="68"/>
      <c r="F77" s="41"/>
      <c r="G77" s="41"/>
      <c r="H77" s="196"/>
      <c r="I77" s="77"/>
      <c r="J77" s="34"/>
      <c r="K77" s="34"/>
      <c r="L77" s="312"/>
      <c r="M77" s="38"/>
      <c r="N77" s="158"/>
      <c r="O77" s="158"/>
      <c r="P77" s="195"/>
      <c r="Q77" s="36"/>
      <c r="R77" s="63"/>
      <c r="S77" s="63"/>
      <c r="T77" s="37"/>
      <c r="U77" s="37"/>
      <c r="V77" s="37"/>
      <c r="W77" s="37"/>
      <c r="X77" s="37"/>
      <c r="Y77" s="37"/>
      <c r="Z77" s="37"/>
      <c r="AA77" s="59"/>
      <c r="AB77" s="80"/>
      <c r="AC77" s="65"/>
      <c r="AD77" s="42"/>
      <c r="AE77" s="42"/>
      <c r="AF77" s="42"/>
      <c r="AG77" s="245"/>
      <c r="AH77" s="246"/>
      <c r="AI77" s="71"/>
      <c r="AJ77" s="39"/>
      <c r="AK77" s="71"/>
      <c r="AL77" s="39"/>
      <c r="AM77" s="330" t="e">
        <f t="shared" si="4"/>
        <v>#DIV/0!</v>
      </c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</row>
    <row r="78" spans="1:65" x14ac:dyDescent="0.2">
      <c r="A78" s="33"/>
      <c r="B78" s="33" t="str">
        <f t="shared" si="3"/>
        <v>KM2112-2-24-16--A</v>
      </c>
      <c r="C78" s="42" t="s">
        <v>192</v>
      </c>
      <c r="D78" s="68">
        <v>2</v>
      </c>
      <c r="E78" s="68">
        <v>24</v>
      </c>
      <c r="F78" s="41" t="s">
        <v>104</v>
      </c>
      <c r="G78" s="41"/>
      <c r="H78" s="41" t="s">
        <v>78</v>
      </c>
      <c r="I78" s="77" t="s">
        <v>270</v>
      </c>
      <c r="J78" s="34" t="s">
        <v>248</v>
      </c>
      <c r="K78" s="34" t="s">
        <v>130</v>
      </c>
      <c r="L78" s="312"/>
      <c r="M78" s="247">
        <v>20</v>
      </c>
      <c r="N78" s="158">
        <v>21.6</v>
      </c>
      <c r="O78" s="158">
        <v>40</v>
      </c>
      <c r="P78" s="197"/>
      <c r="Q78" s="36" t="s">
        <v>63</v>
      </c>
      <c r="R78" s="63" t="s">
        <v>7</v>
      </c>
      <c r="S78" s="63">
        <v>0.15</v>
      </c>
      <c r="T78" s="37">
        <v>25.25</v>
      </c>
      <c r="U78" s="37">
        <v>55</v>
      </c>
      <c r="V78" s="37">
        <v>69</v>
      </c>
      <c r="W78" s="37">
        <v>50.85</v>
      </c>
      <c r="X78" s="37">
        <v>66.349999999999994</v>
      </c>
      <c r="Y78" s="37" t="s">
        <v>98</v>
      </c>
      <c r="Z78" s="37" t="s">
        <v>98</v>
      </c>
      <c r="AA78" s="59">
        <v>53.75</v>
      </c>
      <c r="AB78" s="80"/>
      <c r="AC78" s="65">
        <v>108</v>
      </c>
      <c r="AD78" s="42" t="s">
        <v>38</v>
      </c>
      <c r="AE78" s="42">
        <v>1.64</v>
      </c>
      <c r="AF78" s="42">
        <v>6.92</v>
      </c>
      <c r="AG78" s="245">
        <v>100.672</v>
      </c>
      <c r="AH78" s="246">
        <v>102.733</v>
      </c>
      <c r="AI78" s="71">
        <v>5.88</v>
      </c>
      <c r="AJ78" s="39">
        <v>4500</v>
      </c>
      <c r="AK78" s="71">
        <v>4.66</v>
      </c>
      <c r="AL78" s="39">
        <v>4500</v>
      </c>
      <c r="AM78" s="330">
        <f t="shared" si="4"/>
        <v>101.7025</v>
      </c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</row>
    <row r="79" spans="1:65" x14ac:dyDescent="0.2">
      <c r="A79" s="33"/>
      <c r="B79" s="33" t="str">
        <f t="shared" si="3"/>
        <v>KM2112-2-24-16--B</v>
      </c>
      <c r="C79" s="42" t="s">
        <v>192</v>
      </c>
      <c r="D79" s="68">
        <v>2</v>
      </c>
      <c r="E79" s="68">
        <v>24</v>
      </c>
      <c r="F79" s="41" t="s">
        <v>104</v>
      </c>
      <c r="G79" s="41"/>
      <c r="H79" s="196" t="s">
        <v>79</v>
      </c>
      <c r="I79" s="77" t="s">
        <v>250</v>
      </c>
      <c r="J79" s="34" t="s">
        <v>128</v>
      </c>
      <c r="K79" s="34"/>
      <c r="L79" s="312"/>
      <c r="M79" s="247"/>
      <c r="N79" s="158"/>
      <c r="O79" s="158"/>
      <c r="P79" s="197"/>
      <c r="Q79" s="321" t="s">
        <v>246</v>
      </c>
      <c r="R79" s="322" t="s">
        <v>7</v>
      </c>
      <c r="S79" s="322">
        <v>0.15</v>
      </c>
      <c r="T79" s="323">
        <v>23</v>
      </c>
      <c r="U79" s="323">
        <v>40.9</v>
      </c>
      <c r="V79" s="323">
        <v>61.45</v>
      </c>
      <c r="W79" s="323">
        <v>50.85</v>
      </c>
      <c r="X79" s="323">
        <v>40.880000000000003</v>
      </c>
      <c r="Y79" s="323" t="s">
        <v>98</v>
      </c>
      <c r="Z79" s="323" t="s">
        <v>98</v>
      </c>
      <c r="AA79" s="324">
        <v>51.05</v>
      </c>
      <c r="AB79" s="80"/>
      <c r="AC79" s="309">
        <v>108</v>
      </c>
      <c r="AD79" s="310" t="s">
        <v>38</v>
      </c>
      <c r="AE79" s="42">
        <v>1.64</v>
      </c>
      <c r="AF79" s="42">
        <v>6.92</v>
      </c>
      <c r="AG79" s="245">
        <v>195.405</v>
      </c>
      <c r="AH79" s="246">
        <v>199.53100000000001</v>
      </c>
      <c r="AI79" s="71"/>
      <c r="AJ79" s="39"/>
      <c r="AK79" s="71"/>
      <c r="AL79" s="39"/>
      <c r="AM79" s="330">
        <f t="shared" si="4"/>
        <v>197.46800000000002</v>
      </c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</row>
    <row r="80" spans="1:65" x14ac:dyDescent="0.2">
      <c r="A80" s="33"/>
      <c r="B80" s="33" t="str">
        <f t="shared" si="3"/>
        <v>KM2112-2-24-13--A</v>
      </c>
      <c r="C80" s="42" t="s">
        <v>192</v>
      </c>
      <c r="D80" s="68">
        <v>2</v>
      </c>
      <c r="E80" s="68">
        <v>24</v>
      </c>
      <c r="F80" s="41" t="s">
        <v>139</v>
      </c>
      <c r="G80" s="41"/>
      <c r="H80" s="41" t="s">
        <v>78</v>
      </c>
      <c r="I80" s="77" t="s">
        <v>281</v>
      </c>
      <c r="J80" s="34" t="s">
        <v>280</v>
      </c>
      <c r="K80" s="34" t="s">
        <v>158</v>
      </c>
      <c r="L80" s="312"/>
      <c r="M80" s="38">
        <v>20</v>
      </c>
      <c r="N80" s="64">
        <v>21.6</v>
      </c>
      <c r="O80" s="158">
        <v>40.1</v>
      </c>
      <c r="P80" s="197"/>
      <c r="Q80" s="36" t="s">
        <v>63</v>
      </c>
      <c r="R80" s="63" t="s">
        <v>7</v>
      </c>
      <c r="S80" s="63">
        <v>0.15</v>
      </c>
      <c r="T80" s="37">
        <v>25.25</v>
      </c>
      <c r="U80" s="37">
        <v>55</v>
      </c>
      <c r="V80" s="37">
        <v>69</v>
      </c>
      <c r="W80" s="37">
        <v>50.85</v>
      </c>
      <c r="X80" s="37">
        <v>66.349999999999994</v>
      </c>
      <c r="Y80" s="37" t="s">
        <v>98</v>
      </c>
      <c r="Z80" s="37" t="s">
        <v>98</v>
      </c>
      <c r="AA80" s="59">
        <v>53.75</v>
      </c>
      <c r="AB80" s="80"/>
      <c r="AC80" s="65">
        <v>108</v>
      </c>
      <c r="AD80" s="42" t="s">
        <v>38</v>
      </c>
      <c r="AE80" s="42">
        <v>1.64</v>
      </c>
      <c r="AF80" s="42">
        <v>6.92</v>
      </c>
      <c r="AG80" s="245">
        <v>97.894000000000005</v>
      </c>
      <c r="AH80" s="246">
        <v>99.93</v>
      </c>
      <c r="AI80" s="71">
        <v>6.99</v>
      </c>
      <c r="AJ80" s="39">
        <v>4440</v>
      </c>
      <c r="AK80" s="71">
        <v>4.9800000000000004</v>
      </c>
      <c r="AL80" s="39">
        <v>4540</v>
      </c>
      <c r="AM80" s="330">
        <f t="shared" si="4"/>
        <v>98.912000000000006</v>
      </c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</row>
    <row r="81" spans="1:65" x14ac:dyDescent="0.2">
      <c r="A81" s="33"/>
      <c r="B81" s="33" t="str">
        <f t="shared" si="3"/>
        <v>KM2112-2-24-13--B</v>
      </c>
      <c r="C81" s="42" t="s">
        <v>192</v>
      </c>
      <c r="D81" s="68">
        <v>2</v>
      </c>
      <c r="E81" s="68">
        <v>24</v>
      </c>
      <c r="F81" s="41" t="s">
        <v>139</v>
      </c>
      <c r="G81" s="41"/>
      <c r="H81" s="196" t="s">
        <v>79</v>
      </c>
      <c r="I81" s="77" t="s">
        <v>282</v>
      </c>
      <c r="J81" s="34" t="s">
        <v>179</v>
      </c>
      <c r="K81" s="34"/>
      <c r="L81" s="312"/>
      <c r="M81" s="247"/>
      <c r="N81" s="158"/>
      <c r="O81" s="158"/>
      <c r="P81" s="197"/>
      <c r="Q81" s="321" t="s">
        <v>246</v>
      </c>
      <c r="R81" s="322" t="s">
        <v>7</v>
      </c>
      <c r="S81" s="322">
        <v>0.15</v>
      </c>
      <c r="T81" s="323">
        <v>23</v>
      </c>
      <c r="U81" s="323">
        <v>40.9</v>
      </c>
      <c r="V81" s="323">
        <v>61.45</v>
      </c>
      <c r="W81" s="323">
        <v>50.85</v>
      </c>
      <c r="X81" s="323">
        <v>40.880000000000003</v>
      </c>
      <c r="Y81" s="323" t="s">
        <v>98</v>
      </c>
      <c r="Z81" s="323" t="s">
        <v>98</v>
      </c>
      <c r="AA81" s="324">
        <v>51.05</v>
      </c>
      <c r="AB81" s="80"/>
      <c r="AC81" s="309">
        <v>108</v>
      </c>
      <c r="AD81" s="310" t="s">
        <v>38</v>
      </c>
      <c r="AE81" s="42">
        <v>1.64</v>
      </c>
      <c r="AF81" s="42">
        <v>6.92</v>
      </c>
      <c r="AG81" s="245">
        <v>195.358</v>
      </c>
      <c r="AH81" s="246">
        <v>199.60599999999999</v>
      </c>
      <c r="AI81" s="71"/>
      <c r="AJ81" s="39"/>
      <c r="AK81" s="71"/>
      <c r="AL81" s="39"/>
      <c r="AM81" s="330">
        <f t="shared" si="4"/>
        <v>197.482</v>
      </c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</row>
    <row r="82" spans="1:65" ht="19" customHeight="1" x14ac:dyDescent="0.2">
      <c r="A82" s="33"/>
      <c r="B82" s="33" t="str">
        <f t="shared" si="3"/>
        <v>KM2112-2-24-10--A</v>
      </c>
      <c r="C82" s="42" t="s">
        <v>192</v>
      </c>
      <c r="D82" s="68">
        <v>2</v>
      </c>
      <c r="E82" s="68">
        <v>24</v>
      </c>
      <c r="F82" s="41" t="s">
        <v>61</v>
      </c>
      <c r="G82" s="41"/>
      <c r="H82" s="41" t="s">
        <v>78</v>
      </c>
      <c r="I82" s="77" t="s">
        <v>283</v>
      </c>
      <c r="J82" s="34" t="s">
        <v>284</v>
      </c>
      <c r="K82" s="34" t="s">
        <v>285</v>
      </c>
      <c r="L82" s="312"/>
      <c r="M82" s="247">
        <v>20</v>
      </c>
      <c r="N82" s="158">
        <v>21.6</v>
      </c>
      <c r="O82" s="158">
        <v>40.200000000000003</v>
      </c>
      <c r="P82" s="197"/>
      <c r="Q82" s="36" t="s">
        <v>63</v>
      </c>
      <c r="R82" s="63" t="s">
        <v>7</v>
      </c>
      <c r="S82" s="63">
        <v>0.15</v>
      </c>
      <c r="T82" s="37">
        <v>25.25</v>
      </c>
      <c r="U82" s="37">
        <v>55</v>
      </c>
      <c r="V82" s="37">
        <v>69</v>
      </c>
      <c r="W82" s="37">
        <v>50.85</v>
      </c>
      <c r="X82" s="37">
        <v>66.349999999999994</v>
      </c>
      <c r="Y82" s="37" t="s">
        <v>98</v>
      </c>
      <c r="Z82" s="37" t="s">
        <v>98</v>
      </c>
      <c r="AA82" s="59">
        <v>53.75</v>
      </c>
      <c r="AB82" s="80"/>
      <c r="AC82" s="65">
        <v>108</v>
      </c>
      <c r="AD82" s="42" t="s">
        <v>38</v>
      </c>
      <c r="AE82" s="42">
        <v>1.64</v>
      </c>
      <c r="AF82" s="42">
        <v>6.92</v>
      </c>
      <c r="AG82" s="245">
        <v>99.768000000000001</v>
      </c>
      <c r="AH82" s="246">
        <v>101.908</v>
      </c>
      <c r="AI82" s="71">
        <v>5.92</v>
      </c>
      <c r="AJ82" s="39">
        <v>4530</v>
      </c>
      <c r="AK82" s="71">
        <v>4.96</v>
      </c>
      <c r="AL82" s="39">
        <v>4520</v>
      </c>
      <c r="AM82" s="330">
        <f t="shared" si="4"/>
        <v>100.83799999999999</v>
      </c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</row>
    <row r="83" spans="1:65" s="101" customFormat="1" x14ac:dyDescent="0.2">
      <c r="A83" s="33"/>
      <c r="B83" s="33" t="str">
        <f t="shared" si="3"/>
        <v>KM2112-2-24-10--B</v>
      </c>
      <c r="C83" s="42" t="s">
        <v>192</v>
      </c>
      <c r="D83" s="68">
        <v>2</v>
      </c>
      <c r="E83" s="68">
        <v>24</v>
      </c>
      <c r="F83" s="41" t="s">
        <v>61</v>
      </c>
      <c r="G83" s="41"/>
      <c r="H83" s="196" t="s">
        <v>79</v>
      </c>
      <c r="I83" s="77" t="s">
        <v>286</v>
      </c>
      <c r="J83" s="34" t="s">
        <v>134</v>
      </c>
      <c r="K83" s="34"/>
      <c r="L83" s="312"/>
      <c r="M83" s="247"/>
      <c r="N83" s="158"/>
      <c r="O83" s="158"/>
      <c r="P83" s="197"/>
      <c r="Q83" s="321" t="s">
        <v>246</v>
      </c>
      <c r="R83" s="322" t="s">
        <v>7</v>
      </c>
      <c r="S83" s="322">
        <v>0.15</v>
      </c>
      <c r="T83" s="323">
        <v>23</v>
      </c>
      <c r="U83" s="323">
        <v>40.9</v>
      </c>
      <c r="V83" s="323">
        <v>61.45</v>
      </c>
      <c r="W83" s="323">
        <v>50.85</v>
      </c>
      <c r="X83" s="323">
        <v>40.880000000000003</v>
      </c>
      <c r="Y83" s="323" t="s">
        <v>98</v>
      </c>
      <c r="Z83" s="323" t="s">
        <v>98</v>
      </c>
      <c r="AA83" s="324">
        <v>51.05</v>
      </c>
      <c r="AB83" s="80"/>
      <c r="AC83" s="309">
        <v>108</v>
      </c>
      <c r="AD83" s="310" t="s">
        <v>38</v>
      </c>
      <c r="AE83" s="42">
        <v>1.64</v>
      </c>
      <c r="AF83" s="42">
        <v>6.92</v>
      </c>
      <c r="AG83" s="245">
        <v>195.81700000000001</v>
      </c>
      <c r="AH83" s="246">
        <v>200.173</v>
      </c>
      <c r="AI83" s="71"/>
      <c r="AJ83" s="39"/>
      <c r="AK83" s="71"/>
      <c r="AL83" s="39"/>
      <c r="AM83" s="330">
        <f t="shared" si="4"/>
        <v>197.995</v>
      </c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</row>
    <row r="84" spans="1:65" s="101" customFormat="1" x14ac:dyDescent="0.2">
      <c r="A84" s="33"/>
      <c r="B84" s="33" t="str">
        <f t="shared" si="3"/>
        <v>KM2112-2-24-7--A</v>
      </c>
      <c r="C84" s="42" t="s">
        <v>192</v>
      </c>
      <c r="D84" s="68">
        <v>2</v>
      </c>
      <c r="E84" s="68">
        <v>24</v>
      </c>
      <c r="F84" s="41" t="s">
        <v>150</v>
      </c>
      <c r="G84" s="41"/>
      <c r="H84" s="41" t="s">
        <v>78</v>
      </c>
      <c r="I84" s="77" t="s">
        <v>287</v>
      </c>
      <c r="J84" s="34" t="s">
        <v>288</v>
      </c>
      <c r="K84" s="34" t="s">
        <v>289</v>
      </c>
      <c r="L84" s="312"/>
      <c r="M84" s="247">
        <v>20</v>
      </c>
      <c r="N84" s="158">
        <v>21.6</v>
      </c>
      <c r="O84" s="158">
        <v>40.200000000000003</v>
      </c>
      <c r="P84" s="197"/>
      <c r="Q84" s="36" t="s">
        <v>63</v>
      </c>
      <c r="R84" s="63" t="s">
        <v>7</v>
      </c>
      <c r="S84" s="63">
        <v>0.15</v>
      </c>
      <c r="T84" s="37">
        <v>25.25</v>
      </c>
      <c r="U84" s="37">
        <v>55</v>
      </c>
      <c r="V84" s="37">
        <v>69</v>
      </c>
      <c r="W84" s="37">
        <v>50.85</v>
      </c>
      <c r="X84" s="37">
        <v>66.349999999999994</v>
      </c>
      <c r="Y84" s="37" t="s">
        <v>98</v>
      </c>
      <c r="Z84" s="37" t="s">
        <v>98</v>
      </c>
      <c r="AA84" s="59">
        <v>53.75</v>
      </c>
      <c r="AB84" s="80"/>
      <c r="AC84" s="65">
        <v>108</v>
      </c>
      <c r="AD84" s="42" t="s">
        <v>38</v>
      </c>
      <c r="AE84" s="42">
        <v>1.64</v>
      </c>
      <c r="AF84" s="42">
        <v>6.92</v>
      </c>
      <c r="AG84" s="245">
        <v>100.565</v>
      </c>
      <c r="AH84" s="246">
        <v>102.732</v>
      </c>
      <c r="AI84" s="71">
        <v>6.09</v>
      </c>
      <c r="AJ84" s="39">
        <v>4440</v>
      </c>
      <c r="AK84" s="71">
        <v>4.71</v>
      </c>
      <c r="AL84" s="39">
        <v>4500</v>
      </c>
      <c r="AM84" s="330">
        <f t="shared" si="4"/>
        <v>101.6485</v>
      </c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4"/>
      <c r="BJ84" s="94"/>
      <c r="BK84" s="94"/>
      <c r="BL84" s="94"/>
      <c r="BM84" s="94"/>
    </row>
    <row r="85" spans="1:65" s="101" customFormat="1" x14ac:dyDescent="0.2">
      <c r="A85" s="33"/>
      <c r="B85" s="33" t="str">
        <f t="shared" si="3"/>
        <v>KM2112-2-24-7--B</v>
      </c>
      <c r="C85" s="42" t="s">
        <v>192</v>
      </c>
      <c r="D85" s="68">
        <v>2</v>
      </c>
      <c r="E85" s="68">
        <v>24</v>
      </c>
      <c r="F85" s="41" t="s">
        <v>150</v>
      </c>
      <c r="G85" s="41"/>
      <c r="H85" s="196" t="s">
        <v>79</v>
      </c>
      <c r="I85" s="77" t="s">
        <v>291</v>
      </c>
      <c r="J85" s="34" t="s">
        <v>292</v>
      </c>
      <c r="K85" s="34"/>
      <c r="L85" s="312" t="s">
        <v>290</v>
      </c>
      <c r="M85" s="247"/>
      <c r="N85" s="158"/>
      <c r="O85" s="158"/>
      <c r="P85" s="197"/>
      <c r="Q85" s="321" t="s">
        <v>246</v>
      </c>
      <c r="R85" s="322" t="s">
        <v>7</v>
      </c>
      <c r="S85" s="322">
        <v>0.15</v>
      </c>
      <c r="T85" s="323">
        <v>23</v>
      </c>
      <c r="U85" s="323">
        <v>40.9</v>
      </c>
      <c r="V85" s="323">
        <v>61.45</v>
      </c>
      <c r="W85" s="323">
        <v>50.85</v>
      </c>
      <c r="X85" s="323">
        <v>40.880000000000003</v>
      </c>
      <c r="Y85" s="323" t="s">
        <v>98</v>
      </c>
      <c r="Z85" s="323" t="s">
        <v>98</v>
      </c>
      <c r="AA85" s="324">
        <v>51.05</v>
      </c>
      <c r="AB85" s="80"/>
      <c r="AC85" s="309">
        <v>108</v>
      </c>
      <c r="AD85" s="310" t="s">
        <v>38</v>
      </c>
      <c r="AE85" s="42">
        <v>1.64</v>
      </c>
      <c r="AF85" s="42">
        <v>6.92</v>
      </c>
      <c r="AG85" s="245">
        <v>193.65700000000001</v>
      </c>
      <c r="AH85" s="246">
        <v>198.05199999999999</v>
      </c>
      <c r="AI85" s="71"/>
      <c r="AJ85" s="39"/>
      <c r="AK85" s="71"/>
      <c r="AL85" s="39"/>
      <c r="AM85" s="330">
        <f t="shared" si="4"/>
        <v>195.8545</v>
      </c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  <c r="BM85" s="94"/>
    </row>
    <row r="86" spans="1:65" s="101" customFormat="1" x14ac:dyDescent="0.2">
      <c r="A86" s="33"/>
      <c r="B86" s="33" t="str">
        <f t="shared" si="3"/>
        <v>KM2112-2-24-4--A</v>
      </c>
      <c r="C86" s="42" t="s">
        <v>192</v>
      </c>
      <c r="D86" s="68">
        <v>2</v>
      </c>
      <c r="E86" s="68">
        <v>24</v>
      </c>
      <c r="F86" s="41" t="s">
        <v>135</v>
      </c>
      <c r="G86" s="196"/>
      <c r="H86" s="41" t="s">
        <v>78</v>
      </c>
      <c r="I86" s="77" t="s">
        <v>293</v>
      </c>
      <c r="J86" s="34" t="s">
        <v>294</v>
      </c>
      <c r="K86" s="34" t="s">
        <v>295</v>
      </c>
      <c r="L86" s="312"/>
      <c r="M86" s="247">
        <v>20</v>
      </c>
      <c r="N86" s="158">
        <v>21.6</v>
      </c>
      <c r="O86" s="158">
        <v>40.4</v>
      </c>
      <c r="P86" s="197"/>
      <c r="Q86" s="36" t="s">
        <v>63</v>
      </c>
      <c r="R86" s="63" t="s">
        <v>7</v>
      </c>
      <c r="S86" s="63">
        <v>0.15</v>
      </c>
      <c r="T86" s="37">
        <v>25.25</v>
      </c>
      <c r="U86" s="37">
        <v>55</v>
      </c>
      <c r="V86" s="37">
        <v>69</v>
      </c>
      <c r="W86" s="37">
        <v>50.85</v>
      </c>
      <c r="X86" s="37">
        <v>66.349999999999994</v>
      </c>
      <c r="Y86" s="37" t="s">
        <v>98</v>
      </c>
      <c r="Z86" s="37" t="s">
        <v>98</v>
      </c>
      <c r="AA86" s="59">
        <v>53.75</v>
      </c>
      <c r="AB86" s="80"/>
      <c r="AC86" s="65">
        <v>108</v>
      </c>
      <c r="AD86" s="42" t="s">
        <v>38</v>
      </c>
      <c r="AE86" s="42">
        <v>1.64</v>
      </c>
      <c r="AF86" s="42">
        <v>6.92</v>
      </c>
      <c r="AG86" s="245">
        <v>100.01600000000001</v>
      </c>
      <c r="AH86" s="246">
        <v>102.172</v>
      </c>
      <c r="AI86" s="71">
        <v>6.49</v>
      </c>
      <c r="AJ86" s="39">
        <v>4470</v>
      </c>
      <c r="AK86" s="71">
        <v>4.49</v>
      </c>
      <c r="AL86" s="39">
        <v>4540</v>
      </c>
      <c r="AM86" s="330">
        <f t="shared" si="4"/>
        <v>101.09399999999999</v>
      </c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</row>
    <row r="87" spans="1:65" s="101" customFormat="1" x14ac:dyDescent="0.2">
      <c r="A87" s="33"/>
      <c r="B87" s="33" t="str">
        <f t="shared" si="3"/>
        <v>KM2112-2-24-4--B</v>
      </c>
      <c r="C87" s="42" t="s">
        <v>192</v>
      </c>
      <c r="D87" s="68">
        <v>2</v>
      </c>
      <c r="E87" s="68">
        <v>24</v>
      </c>
      <c r="F87" s="41" t="s">
        <v>135</v>
      </c>
      <c r="G87" s="196"/>
      <c r="H87" s="196" t="s">
        <v>79</v>
      </c>
      <c r="I87" s="77" t="s">
        <v>296</v>
      </c>
      <c r="J87" s="34" t="s">
        <v>297</v>
      </c>
      <c r="K87" s="34"/>
      <c r="L87" s="312"/>
      <c r="M87" s="247"/>
      <c r="N87" s="158"/>
      <c r="O87" s="158"/>
      <c r="P87" s="197"/>
      <c r="Q87" s="321" t="s">
        <v>246</v>
      </c>
      <c r="R87" s="322" t="s">
        <v>7</v>
      </c>
      <c r="S87" s="322">
        <v>0.15</v>
      </c>
      <c r="T87" s="323">
        <v>23</v>
      </c>
      <c r="U87" s="323">
        <v>40.9</v>
      </c>
      <c r="V87" s="323">
        <v>61.45</v>
      </c>
      <c r="W87" s="323">
        <v>50.85</v>
      </c>
      <c r="X87" s="323">
        <v>40.880000000000003</v>
      </c>
      <c r="Y87" s="323" t="s">
        <v>98</v>
      </c>
      <c r="Z87" s="323" t="s">
        <v>98</v>
      </c>
      <c r="AA87" s="324">
        <v>51.05</v>
      </c>
      <c r="AB87" s="80"/>
      <c r="AC87" s="309">
        <v>108</v>
      </c>
      <c r="AD87" s="310" t="s">
        <v>38</v>
      </c>
      <c r="AE87" s="42">
        <v>1.64</v>
      </c>
      <c r="AF87" s="42">
        <v>6.92</v>
      </c>
      <c r="AG87" s="245">
        <v>159.99299999999999</v>
      </c>
      <c r="AH87" s="246">
        <v>163.65899999999999</v>
      </c>
      <c r="AI87" s="71"/>
      <c r="AJ87" s="39"/>
      <c r="AK87" s="71"/>
      <c r="AL87" s="39"/>
      <c r="AM87" s="330">
        <f t="shared" si="4"/>
        <v>161.82599999999999</v>
      </c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BG87" s="94"/>
      <c r="BH87" s="94"/>
      <c r="BI87" s="94"/>
      <c r="BJ87" s="94"/>
      <c r="BK87" s="94"/>
      <c r="BL87" s="94"/>
      <c r="BM87" s="94"/>
    </row>
    <row r="88" spans="1:65" s="101" customFormat="1" x14ac:dyDescent="0.2">
      <c r="A88" s="33"/>
      <c r="B88" s="33" t="str">
        <f t="shared" si="3"/>
        <v>KM2112-2-24-1--A</v>
      </c>
      <c r="C88" s="42" t="s">
        <v>192</v>
      </c>
      <c r="D88" s="68">
        <v>2</v>
      </c>
      <c r="E88" s="68">
        <v>24</v>
      </c>
      <c r="F88" s="41" t="s">
        <v>54</v>
      </c>
      <c r="G88" s="196"/>
      <c r="H88" s="41" t="s">
        <v>78</v>
      </c>
      <c r="I88" s="77" t="s">
        <v>298</v>
      </c>
      <c r="J88" s="34" t="s">
        <v>299</v>
      </c>
      <c r="K88" s="34" t="s">
        <v>300</v>
      </c>
      <c r="L88" s="312"/>
      <c r="M88" s="247">
        <v>20</v>
      </c>
      <c r="N88" s="158">
        <v>21.6</v>
      </c>
      <c r="O88" s="158">
        <v>40.4</v>
      </c>
      <c r="P88" s="197"/>
      <c r="Q88" s="36" t="s">
        <v>63</v>
      </c>
      <c r="R88" s="63" t="s">
        <v>7</v>
      </c>
      <c r="S88" s="63">
        <v>0.15</v>
      </c>
      <c r="T88" s="37">
        <v>25.25</v>
      </c>
      <c r="U88" s="37">
        <v>55</v>
      </c>
      <c r="V88" s="37">
        <v>69</v>
      </c>
      <c r="W88" s="37">
        <v>50.85</v>
      </c>
      <c r="X88" s="37">
        <v>66.349999999999994</v>
      </c>
      <c r="Y88" s="37" t="s">
        <v>98</v>
      </c>
      <c r="Z88" s="37" t="s">
        <v>98</v>
      </c>
      <c r="AA88" s="59">
        <v>53.75</v>
      </c>
      <c r="AB88" s="80"/>
      <c r="AC88" s="65">
        <v>108</v>
      </c>
      <c r="AD88" s="42" t="s">
        <v>38</v>
      </c>
      <c r="AE88" s="42">
        <v>1.64</v>
      </c>
      <c r="AF88" s="42">
        <v>6.92</v>
      </c>
      <c r="AG88" s="245">
        <v>98.994</v>
      </c>
      <c r="AH88" s="246">
        <v>101.15</v>
      </c>
      <c r="AI88" s="71">
        <v>6.02</v>
      </c>
      <c r="AJ88" s="39">
        <v>4480</v>
      </c>
      <c r="AK88" s="71">
        <v>5.33</v>
      </c>
      <c r="AL88" s="39">
        <v>4520</v>
      </c>
      <c r="AM88" s="330">
        <f t="shared" si="4"/>
        <v>100.072</v>
      </c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</row>
    <row r="89" spans="1:65" s="101" customFormat="1" x14ac:dyDescent="0.2">
      <c r="A89" s="33"/>
      <c r="B89" s="33" t="str">
        <f t="shared" si="3"/>
        <v>KM2112-2-24-1--B</v>
      </c>
      <c r="C89" s="42" t="s">
        <v>192</v>
      </c>
      <c r="D89" s="68">
        <v>2</v>
      </c>
      <c r="E89" s="68">
        <v>24</v>
      </c>
      <c r="F89" s="41" t="s">
        <v>54</v>
      </c>
      <c r="G89" s="196"/>
      <c r="H89" s="196" t="s">
        <v>79</v>
      </c>
      <c r="I89" s="77" t="s">
        <v>301</v>
      </c>
      <c r="J89" s="34" t="s">
        <v>302</v>
      </c>
      <c r="K89" s="34"/>
      <c r="L89" s="312"/>
      <c r="M89" s="247"/>
      <c r="N89" s="158"/>
      <c r="O89" s="158"/>
      <c r="P89" s="197"/>
      <c r="Q89" s="321" t="s">
        <v>246</v>
      </c>
      <c r="R89" s="322" t="s">
        <v>7</v>
      </c>
      <c r="S89" s="322">
        <v>0.15</v>
      </c>
      <c r="T89" s="323">
        <v>23</v>
      </c>
      <c r="U89" s="323">
        <v>40.9</v>
      </c>
      <c r="V89" s="323">
        <v>61.45</v>
      </c>
      <c r="W89" s="323">
        <v>50.85</v>
      </c>
      <c r="X89" s="323">
        <v>40.880000000000003</v>
      </c>
      <c r="Y89" s="323" t="s">
        <v>98</v>
      </c>
      <c r="Z89" s="323" t="s">
        <v>98</v>
      </c>
      <c r="AA89" s="324">
        <v>51.05</v>
      </c>
      <c r="AB89" s="80"/>
      <c r="AC89" s="309">
        <v>108</v>
      </c>
      <c r="AD89" s="310" t="s">
        <v>38</v>
      </c>
      <c r="AE89" s="42">
        <v>1.64</v>
      </c>
      <c r="AF89" s="42">
        <v>6.92</v>
      </c>
      <c r="AG89" s="245">
        <v>147.41200000000001</v>
      </c>
      <c r="AH89" s="246">
        <v>150.774</v>
      </c>
      <c r="AI89" s="71"/>
      <c r="AJ89" s="39"/>
      <c r="AK89" s="71"/>
      <c r="AL89" s="39"/>
      <c r="AM89" s="330">
        <f t="shared" si="4"/>
        <v>149.09300000000002</v>
      </c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  <c r="BH89" s="94"/>
      <c r="BI89" s="94"/>
      <c r="BJ89" s="94"/>
      <c r="BK89" s="94"/>
      <c r="BL89" s="94"/>
      <c r="BM89" s="94"/>
    </row>
    <row r="90" spans="1:65" s="101" customFormat="1" x14ac:dyDescent="0.2">
      <c r="A90" s="33"/>
      <c r="B90" s="33" t="str">
        <f t="shared" si="3"/>
        <v>-----</v>
      </c>
      <c r="C90" s="42"/>
      <c r="D90" s="68"/>
      <c r="E90" s="68"/>
      <c r="F90" s="41"/>
      <c r="G90" s="41"/>
      <c r="H90" s="41"/>
      <c r="I90" s="77"/>
      <c r="J90" s="34"/>
      <c r="K90" s="34"/>
      <c r="L90" s="312"/>
      <c r="M90" s="247"/>
      <c r="N90" s="158"/>
      <c r="O90" s="158"/>
      <c r="P90" s="197"/>
      <c r="Q90" s="36"/>
      <c r="R90" s="63"/>
      <c r="S90" s="63"/>
      <c r="T90" s="37"/>
      <c r="U90" s="37"/>
      <c r="V90" s="37"/>
      <c r="W90" s="37"/>
      <c r="X90" s="37"/>
      <c r="Y90" s="37"/>
      <c r="Z90" s="37"/>
      <c r="AA90" s="59"/>
      <c r="AB90" s="80"/>
      <c r="AC90" s="65"/>
      <c r="AD90" s="42"/>
      <c r="AE90" s="42"/>
      <c r="AF90" s="42"/>
      <c r="AG90" s="245"/>
      <c r="AH90" s="246"/>
      <c r="AI90" s="71"/>
      <c r="AJ90" s="39"/>
      <c r="AK90" s="71"/>
      <c r="AL90" s="39"/>
      <c r="AM90" s="330" t="e">
        <f t="shared" si="4"/>
        <v>#DIV/0!</v>
      </c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  <c r="BG90" s="94"/>
      <c r="BH90" s="94"/>
      <c r="BI90" s="94"/>
      <c r="BJ90" s="94"/>
      <c r="BK90" s="94"/>
      <c r="BL90" s="94"/>
      <c r="BM90" s="94"/>
    </row>
    <row r="91" spans="1:65" s="101" customFormat="1" x14ac:dyDescent="0.2">
      <c r="A91" s="33"/>
      <c r="B91" s="33" t="str">
        <f t="shared" si="3"/>
        <v>---BDS-SURF-4</v>
      </c>
      <c r="C91" s="42"/>
      <c r="D91" s="68"/>
      <c r="E91" s="68"/>
      <c r="F91" s="41" t="s">
        <v>52</v>
      </c>
      <c r="G91" s="196" t="s">
        <v>45</v>
      </c>
      <c r="H91" s="41" t="s">
        <v>135</v>
      </c>
      <c r="I91" s="77" t="s">
        <v>303</v>
      </c>
      <c r="J91" s="34" t="s">
        <v>304</v>
      </c>
      <c r="K91" s="34" t="s">
        <v>100</v>
      </c>
      <c r="L91" s="312"/>
      <c r="M91" s="247">
        <v>20</v>
      </c>
      <c r="N91" s="158">
        <v>21.6</v>
      </c>
      <c r="O91" s="158">
        <v>44.9</v>
      </c>
      <c r="P91" s="197"/>
      <c r="Q91" s="36" t="s">
        <v>63</v>
      </c>
      <c r="R91" s="63" t="s">
        <v>7</v>
      </c>
      <c r="S91" s="63">
        <v>0.15</v>
      </c>
      <c r="T91" s="37">
        <v>25.25</v>
      </c>
      <c r="U91" s="37">
        <v>55</v>
      </c>
      <c r="V91" s="37">
        <v>69</v>
      </c>
      <c r="W91" s="37">
        <v>50.85</v>
      </c>
      <c r="X91" s="37">
        <v>66.349999999999994</v>
      </c>
      <c r="Y91" s="37" t="s">
        <v>98</v>
      </c>
      <c r="Z91" s="37" t="s">
        <v>98</v>
      </c>
      <c r="AA91" s="59">
        <v>53.75</v>
      </c>
      <c r="AB91" s="80"/>
      <c r="AC91" s="65">
        <v>108</v>
      </c>
      <c r="AD91" s="42" t="s">
        <v>38</v>
      </c>
      <c r="AE91" s="42">
        <v>1.64</v>
      </c>
      <c r="AF91" s="42">
        <v>6.92</v>
      </c>
      <c r="AG91" s="245">
        <v>40.340000000000003</v>
      </c>
      <c r="AH91" s="246">
        <v>41.71</v>
      </c>
      <c r="AI91" s="71">
        <v>4.6500000000000004</v>
      </c>
      <c r="AJ91" s="39">
        <v>4420</v>
      </c>
      <c r="AK91" s="71">
        <v>4.72</v>
      </c>
      <c r="AL91" s="39">
        <v>4480</v>
      </c>
      <c r="AM91" s="330">
        <f t="shared" si="4"/>
        <v>41.025000000000006</v>
      </c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</row>
    <row r="92" spans="1:65" s="101" customFormat="1" x14ac:dyDescent="0.2">
      <c r="A92" s="33"/>
      <c r="B92" s="33" t="str">
        <f t="shared" si="3"/>
        <v>-----</v>
      </c>
      <c r="C92" s="42"/>
      <c r="D92" s="68"/>
      <c r="E92" s="68"/>
      <c r="F92" s="41"/>
      <c r="G92" s="41"/>
      <c r="H92" s="196"/>
      <c r="I92" s="77"/>
      <c r="J92" s="34"/>
      <c r="K92" s="34"/>
      <c r="L92" s="312"/>
      <c r="M92" s="247"/>
      <c r="N92" s="158"/>
      <c r="O92" s="158"/>
      <c r="P92" s="197"/>
      <c r="Q92" s="36"/>
      <c r="R92" s="63"/>
      <c r="S92" s="63"/>
      <c r="T92" s="37"/>
      <c r="U92" s="37"/>
      <c r="V92" s="37"/>
      <c r="W92" s="37"/>
      <c r="X92" s="37"/>
      <c r="Y92" s="37"/>
      <c r="Z92" s="37"/>
      <c r="AA92" s="59"/>
      <c r="AB92" s="80"/>
      <c r="AC92" s="65"/>
      <c r="AD92" s="42"/>
      <c r="AE92" s="42"/>
      <c r="AF92" s="42"/>
      <c r="AG92" s="245"/>
      <c r="AH92" s="246"/>
      <c r="AI92" s="71"/>
      <c r="AJ92" s="39"/>
      <c r="AK92" s="71"/>
      <c r="AL92" s="39"/>
      <c r="AM92" s="330" t="e">
        <f t="shared" si="4"/>
        <v>#DIV/0!</v>
      </c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</row>
    <row r="93" spans="1:65" s="101" customFormat="1" x14ac:dyDescent="0.2">
      <c r="A93" s="33"/>
      <c r="B93" s="33" t="str">
        <f t="shared" si="3"/>
        <v>KM2112-2-38-17--A</v>
      </c>
      <c r="C93" s="42" t="s">
        <v>192</v>
      </c>
      <c r="D93" s="68">
        <v>2</v>
      </c>
      <c r="E93" s="68">
        <v>38</v>
      </c>
      <c r="F93" s="41" t="s">
        <v>138</v>
      </c>
      <c r="G93" s="41"/>
      <c r="H93" s="41" t="s">
        <v>78</v>
      </c>
      <c r="I93" s="77" t="s">
        <v>249</v>
      </c>
      <c r="J93" s="34" t="s">
        <v>173</v>
      </c>
      <c r="K93" s="34" t="s">
        <v>251</v>
      </c>
      <c r="L93" s="312"/>
      <c r="M93" s="247">
        <v>20</v>
      </c>
      <c r="N93" s="158">
        <v>21.6</v>
      </c>
      <c r="O93" s="158">
        <v>39.9</v>
      </c>
      <c r="P93" s="197"/>
      <c r="Q93" s="36" t="s">
        <v>63</v>
      </c>
      <c r="R93" s="63" t="s">
        <v>7</v>
      </c>
      <c r="S93" s="63">
        <v>0.15</v>
      </c>
      <c r="T93" s="37">
        <v>25.25</v>
      </c>
      <c r="U93" s="37">
        <v>55</v>
      </c>
      <c r="V93" s="37">
        <v>69</v>
      </c>
      <c r="W93" s="37">
        <v>50.85</v>
      </c>
      <c r="X93" s="37">
        <v>66.349999999999994</v>
      </c>
      <c r="Y93" s="37" t="s">
        <v>98</v>
      </c>
      <c r="Z93" s="37" t="s">
        <v>98</v>
      </c>
      <c r="AA93" s="59">
        <v>53.75</v>
      </c>
      <c r="AB93" s="80"/>
      <c r="AC93" s="65">
        <v>108</v>
      </c>
      <c r="AD93" s="42" t="s">
        <v>38</v>
      </c>
      <c r="AE93" s="42">
        <v>1.64</v>
      </c>
      <c r="AF93" s="42">
        <v>6.92</v>
      </c>
      <c r="AG93" s="245">
        <v>106.408</v>
      </c>
      <c r="AH93" s="246">
        <v>108.599</v>
      </c>
      <c r="AI93" s="71">
        <v>6.16</v>
      </c>
      <c r="AJ93" s="39">
        <v>4520</v>
      </c>
      <c r="AK93" s="71">
        <v>5.3</v>
      </c>
      <c r="AL93" s="39">
        <v>4540</v>
      </c>
      <c r="AM93" s="330">
        <f t="shared" si="4"/>
        <v>107.5035</v>
      </c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</row>
    <row r="94" spans="1:65" s="101" customFormat="1" ht="32" x14ac:dyDescent="0.2">
      <c r="A94" s="33"/>
      <c r="B94" s="33" t="str">
        <f>CONCATENATE(C94,"-",D94,"-",$E94,"-",F94,,"-",G94,"-",H94)</f>
        <v>KM2112-2-38-17--B</v>
      </c>
      <c r="C94" s="42" t="s">
        <v>192</v>
      </c>
      <c r="D94" s="68">
        <v>2</v>
      </c>
      <c r="E94" s="68">
        <v>38</v>
      </c>
      <c r="F94" s="41" t="s">
        <v>138</v>
      </c>
      <c r="G94" s="46"/>
      <c r="H94" s="196" t="s">
        <v>79</v>
      </c>
      <c r="I94" s="77" t="s">
        <v>252</v>
      </c>
      <c r="J94" s="34" t="s">
        <v>174</v>
      </c>
      <c r="K94" s="34"/>
      <c r="L94" s="312" t="s">
        <v>317</v>
      </c>
      <c r="M94" s="247"/>
      <c r="N94" s="287"/>
      <c r="O94" s="158"/>
      <c r="P94" s="197"/>
      <c r="Q94" s="304" t="s">
        <v>246</v>
      </c>
      <c r="R94" s="305" t="s">
        <v>7</v>
      </c>
      <c r="S94" s="305">
        <v>0.15</v>
      </c>
      <c r="T94" s="306">
        <v>23</v>
      </c>
      <c r="U94" s="306">
        <v>40.9</v>
      </c>
      <c r="V94" s="323">
        <v>61.45</v>
      </c>
      <c r="W94" s="306">
        <v>50.85</v>
      </c>
      <c r="X94" s="323">
        <v>40.880000000000003</v>
      </c>
      <c r="Y94" s="306" t="s">
        <v>98</v>
      </c>
      <c r="Z94" s="306" t="s">
        <v>98</v>
      </c>
      <c r="AA94" s="324">
        <v>51.05</v>
      </c>
      <c r="AB94" s="80"/>
      <c r="AC94" s="309">
        <v>108</v>
      </c>
      <c r="AD94" s="310" t="s">
        <v>38</v>
      </c>
      <c r="AE94" s="42">
        <v>1.64</v>
      </c>
      <c r="AF94" s="42">
        <v>6.92</v>
      </c>
      <c r="AG94" s="245">
        <v>197.471</v>
      </c>
      <c r="AH94" s="246">
        <v>201.68899999999999</v>
      </c>
      <c r="AI94" s="71"/>
      <c r="AJ94" s="39"/>
      <c r="AK94" s="71"/>
      <c r="AL94" s="39"/>
      <c r="AM94" s="330">
        <f t="shared" si="4"/>
        <v>199.57999999999998</v>
      </c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</row>
    <row r="95" spans="1:65" s="101" customFormat="1" x14ac:dyDescent="0.2">
      <c r="A95" s="33"/>
      <c r="B95" s="33" t="str">
        <f t="shared" si="3"/>
        <v>KM2112-2-38-14--A</v>
      </c>
      <c r="C95" s="42" t="s">
        <v>192</v>
      </c>
      <c r="D95" s="68">
        <v>2</v>
      </c>
      <c r="E95" s="68">
        <v>38</v>
      </c>
      <c r="F95" s="41" t="s">
        <v>105</v>
      </c>
      <c r="G95" s="46"/>
      <c r="H95" s="41" t="s">
        <v>78</v>
      </c>
      <c r="I95" s="77" t="s">
        <v>308</v>
      </c>
      <c r="J95" s="34" t="s">
        <v>305</v>
      </c>
      <c r="K95" s="34" t="s">
        <v>307</v>
      </c>
      <c r="L95" s="312"/>
      <c r="M95" s="247">
        <v>20</v>
      </c>
      <c r="N95" s="158">
        <v>21.6</v>
      </c>
      <c r="O95" s="158">
        <v>40.5</v>
      </c>
      <c r="P95" s="197"/>
      <c r="Q95" s="36" t="s">
        <v>63</v>
      </c>
      <c r="R95" s="63" t="s">
        <v>7</v>
      </c>
      <c r="S95" s="63">
        <v>0.15</v>
      </c>
      <c r="T95" s="37">
        <v>25.25</v>
      </c>
      <c r="U95" s="37">
        <v>55</v>
      </c>
      <c r="V95" s="37">
        <v>69</v>
      </c>
      <c r="W95" s="37">
        <v>50.85</v>
      </c>
      <c r="X95" s="37">
        <v>66.349999999999994</v>
      </c>
      <c r="Y95" s="37" t="s">
        <v>98</v>
      </c>
      <c r="Z95" s="37" t="s">
        <v>98</v>
      </c>
      <c r="AA95" s="59">
        <v>53.75</v>
      </c>
      <c r="AB95" s="80"/>
      <c r="AC95" s="65">
        <v>108</v>
      </c>
      <c r="AD95" s="42" t="s">
        <v>38</v>
      </c>
      <c r="AE95" s="42">
        <v>1.64</v>
      </c>
      <c r="AF95" s="42">
        <v>6.92</v>
      </c>
      <c r="AG95" s="245">
        <v>101.004</v>
      </c>
      <c r="AH95" s="246">
        <v>103.17700000000001</v>
      </c>
      <c r="AI95" s="71">
        <v>6.21</v>
      </c>
      <c r="AJ95" s="39">
        <v>4480</v>
      </c>
      <c r="AK95" s="71">
        <v>4.5199999999999996</v>
      </c>
      <c r="AL95" s="39">
        <v>4530</v>
      </c>
      <c r="AM95" s="330">
        <f t="shared" si="4"/>
        <v>102.09050000000001</v>
      </c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</row>
    <row r="96" spans="1:65" s="101" customFormat="1" x14ac:dyDescent="0.2">
      <c r="A96" s="33"/>
      <c r="B96" s="33" t="str">
        <f>CONCATENATE(C96,"-",D96,"-",$E96,"-",F96,,"-",G96,"-",H96)</f>
        <v>KM2112-2-38-14--B</v>
      </c>
      <c r="C96" s="42" t="s">
        <v>192</v>
      </c>
      <c r="D96" s="68">
        <v>2</v>
      </c>
      <c r="E96" s="68">
        <v>38</v>
      </c>
      <c r="F96" s="41" t="s">
        <v>105</v>
      </c>
      <c r="G96" s="41"/>
      <c r="H96" s="196" t="s">
        <v>79</v>
      </c>
      <c r="I96" s="77" t="s">
        <v>306</v>
      </c>
      <c r="J96" s="34" t="s">
        <v>309</v>
      </c>
      <c r="K96" s="34"/>
      <c r="L96" s="312"/>
      <c r="M96" s="247"/>
      <c r="N96" s="158"/>
      <c r="O96" s="158"/>
      <c r="P96" s="197"/>
      <c r="Q96" s="304" t="s">
        <v>246</v>
      </c>
      <c r="R96" s="305" t="s">
        <v>7</v>
      </c>
      <c r="S96" s="305">
        <v>0.15</v>
      </c>
      <c r="T96" s="306">
        <v>23</v>
      </c>
      <c r="U96" s="306">
        <v>40.9</v>
      </c>
      <c r="V96" s="323">
        <v>61.45</v>
      </c>
      <c r="W96" s="306">
        <v>50.85</v>
      </c>
      <c r="X96" s="323">
        <v>40.880000000000003</v>
      </c>
      <c r="Y96" s="306" t="s">
        <v>98</v>
      </c>
      <c r="Z96" s="306" t="s">
        <v>98</v>
      </c>
      <c r="AA96" s="324">
        <v>51.05</v>
      </c>
      <c r="AB96" s="80"/>
      <c r="AC96" s="309">
        <v>108</v>
      </c>
      <c r="AD96" s="310" t="s">
        <v>38</v>
      </c>
      <c r="AE96" s="42">
        <v>1.64</v>
      </c>
      <c r="AF96" s="42">
        <v>6.92</v>
      </c>
      <c r="AG96" s="245">
        <v>200.90299999999999</v>
      </c>
      <c r="AH96" s="246">
        <v>205.43299999999999</v>
      </c>
      <c r="AI96" s="71"/>
      <c r="AJ96" s="39"/>
      <c r="AK96" s="71"/>
      <c r="AL96" s="39"/>
      <c r="AM96" s="330">
        <f t="shared" si="4"/>
        <v>203.16800000000001</v>
      </c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</row>
    <row r="97" spans="1:65" s="101" customFormat="1" x14ac:dyDescent="0.2">
      <c r="A97" s="33"/>
      <c r="B97" s="33" t="str">
        <f t="shared" si="3"/>
        <v>KM2112-2-38-11--A</v>
      </c>
      <c r="C97" s="42" t="s">
        <v>192</v>
      </c>
      <c r="D97" s="68">
        <v>2</v>
      </c>
      <c r="E97" s="68">
        <v>38</v>
      </c>
      <c r="F97" s="41" t="s">
        <v>129</v>
      </c>
      <c r="G97" s="41"/>
      <c r="H97" s="41" t="s">
        <v>78</v>
      </c>
      <c r="I97" s="77" t="s">
        <v>310</v>
      </c>
      <c r="J97" s="34" t="s">
        <v>311</v>
      </c>
      <c r="K97" s="34" t="s">
        <v>103</v>
      </c>
      <c r="L97" s="312"/>
      <c r="M97" s="247">
        <v>20</v>
      </c>
      <c r="N97" s="158">
        <v>21.6</v>
      </c>
      <c r="O97" s="158">
        <v>40.5</v>
      </c>
      <c r="P97" s="197"/>
      <c r="Q97" s="36" t="s">
        <v>63</v>
      </c>
      <c r="R97" s="63" t="s">
        <v>7</v>
      </c>
      <c r="S97" s="63">
        <v>0.15</v>
      </c>
      <c r="T97" s="37">
        <v>25.25</v>
      </c>
      <c r="U97" s="37">
        <v>55</v>
      </c>
      <c r="V97" s="37">
        <v>69</v>
      </c>
      <c r="W97" s="37">
        <v>50.85</v>
      </c>
      <c r="X97" s="37">
        <v>66.349999999999994</v>
      </c>
      <c r="Y97" s="37" t="s">
        <v>98</v>
      </c>
      <c r="Z97" s="37" t="s">
        <v>98</v>
      </c>
      <c r="AA97" s="59">
        <v>53.75</v>
      </c>
      <c r="AB97" s="80"/>
      <c r="AC97" s="65">
        <v>108</v>
      </c>
      <c r="AD97" s="42" t="s">
        <v>38</v>
      </c>
      <c r="AE97" s="42">
        <v>1.64</v>
      </c>
      <c r="AF97" s="42">
        <v>6.92</v>
      </c>
      <c r="AG97" s="245">
        <v>132.15799999999999</v>
      </c>
      <c r="AH97" s="246">
        <v>135.09399999999999</v>
      </c>
      <c r="AI97" s="71">
        <v>5.45</v>
      </c>
      <c r="AJ97" s="39">
        <v>4480</v>
      </c>
      <c r="AK97" s="71">
        <v>4.8499999999999996</v>
      </c>
      <c r="AL97" s="39">
        <v>4540</v>
      </c>
      <c r="AM97" s="330">
        <f t="shared" si="4"/>
        <v>133.62599999999998</v>
      </c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</row>
    <row r="98" spans="1:65" s="101" customFormat="1" x14ac:dyDescent="0.2">
      <c r="A98" s="33"/>
      <c r="B98" s="33" t="str">
        <f t="shared" si="3"/>
        <v>KM2112-2-38-11--B</v>
      </c>
      <c r="C98" s="42" t="s">
        <v>192</v>
      </c>
      <c r="D98" s="68">
        <v>2</v>
      </c>
      <c r="E98" s="68">
        <v>38</v>
      </c>
      <c r="F98" s="41" t="s">
        <v>129</v>
      </c>
      <c r="G98" s="196"/>
      <c r="H98" s="196" t="s">
        <v>79</v>
      </c>
      <c r="I98" s="77" t="s">
        <v>312</v>
      </c>
      <c r="J98" s="34" t="s">
        <v>313</v>
      </c>
      <c r="K98" s="34"/>
      <c r="L98" s="312"/>
      <c r="M98" s="247"/>
      <c r="N98" s="158"/>
      <c r="O98" s="158"/>
      <c r="P98" s="197"/>
      <c r="Q98" s="304" t="s">
        <v>246</v>
      </c>
      <c r="R98" s="305" t="s">
        <v>7</v>
      </c>
      <c r="S98" s="305">
        <v>0.15</v>
      </c>
      <c r="T98" s="306">
        <v>23</v>
      </c>
      <c r="U98" s="306">
        <v>40.9</v>
      </c>
      <c r="V98" s="323">
        <v>61.45</v>
      </c>
      <c r="W98" s="306">
        <v>50.85</v>
      </c>
      <c r="X98" s="323">
        <v>40.880000000000003</v>
      </c>
      <c r="Y98" s="306" t="s">
        <v>98</v>
      </c>
      <c r="Z98" s="306" t="s">
        <v>98</v>
      </c>
      <c r="AA98" s="324">
        <v>51.05</v>
      </c>
      <c r="AB98" s="80"/>
      <c r="AC98" s="309">
        <v>108</v>
      </c>
      <c r="AD98" s="310" t="s">
        <v>38</v>
      </c>
      <c r="AE98" s="42">
        <v>1.64</v>
      </c>
      <c r="AF98" s="42">
        <v>6.92</v>
      </c>
      <c r="AG98" s="245">
        <v>185.102</v>
      </c>
      <c r="AH98" s="246">
        <v>189.42099999999999</v>
      </c>
      <c r="AI98" s="71"/>
      <c r="AJ98" s="39"/>
      <c r="AK98" s="71"/>
      <c r="AL98" s="39"/>
      <c r="AM98" s="330">
        <f t="shared" si="4"/>
        <v>187.26150000000001</v>
      </c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</row>
    <row r="99" spans="1:65" s="101" customFormat="1" ht="18" customHeight="1" x14ac:dyDescent="0.2">
      <c r="A99" s="33"/>
      <c r="B99" s="33" t="str">
        <f t="shared" si="3"/>
        <v>KM2112-2-38-7--A</v>
      </c>
      <c r="C99" s="42" t="s">
        <v>192</v>
      </c>
      <c r="D99" s="68">
        <v>2</v>
      </c>
      <c r="E99" s="68">
        <v>38</v>
      </c>
      <c r="F99" s="41" t="s">
        <v>150</v>
      </c>
      <c r="G99" s="196"/>
      <c r="H99" s="41" t="s">
        <v>78</v>
      </c>
      <c r="I99" s="77" t="s">
        <v>314</v>
      </c>
      <c r="J99" s="34" t="s">
        <v>315</v>
      </c>
      <c r="K99" s="34" t="s">
        <v>316</v>
      </c>
      <c r="L99" s="312"/>
      <c r="M99" s="247">
        <v>20</v>
      </c>
      <c r="N99" s="158">
        <v>21.6</v>
      </c>
      <c r="O99" s="158">
        <v>41</v>
      </c>
      <c r="P99" s="197"/>
      <c r="Q99" s="36" t="s">
        <v>63</v>
      </c>
      <c r="R99" s="63" t="s">
        <v>7</v>
      </c>
      <c r="S99" s="63">
        <v>0.15</v>
      </c>
      <c r="T99" s="37">
        <v>25.25</v>
      </c>
      <c r="U99" s="37">
        <v>55</v>
      </c>
      <c r="V99" s="37">
        <v>69</v>
      </c>
      <c r="W99" s="37">
        <v>50.85</v>
      </c>
      <c r="X99" s="37">
        <v>66.349999999999994</v>
      </c>
      <c r="Y99" s="37" t="s">
        <v>98</v>
      </c>
      <c r="Z99" s="37" t="s">
        <v>98</v>
      </c>
      <c r="AA99" s="59">
        <v>53.75</v>
      </c>
      <c r="AB99" s="80"/>
      <c r="AC99" s="65">
        <v>108</v>
      </c>
      <c r="AD99" s="42" t="s">
        <v>38</v>
      </c>
      <c r="AE99" s="42">
        <v>1.64</v>
      </c>
      <c r="AF99" s="42">
        <v>6.92</v>
      </c>
      <c r="AG99" s="245">
        <v>99.727999999999994</v>
      </c>
      <c r="AH99" s="246">
        <v>101.999</v>
      </c>
      <c r="AI99" s="71">
        <v>6.19</v>
      </c>
      <c r="AJ99" s="39">
        <v>4470</v>
      </c>
      <c r="AK99" s="71">
        <v>4.3</v>
      </c>
      <c r="AL99" s="39">
        <v>4530</v>
      </c>
      <c r="AM99" s="330">
        <f t="shared" si="4"/>
        <v>100.86349999999999</v>
      </c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</row>
    <row r="100" spans="1:65" s="101" customFormat="1" x14ac:dyDescent="0.2">
      <c r="A100" s="33"/>
      <c r="B100" s="33" t="str">
        <f t="shared" si="3"/>
        <v>KM2112-2-38-7--B</v>
      </c>
      <c r="C100" s="42" t="s">
        <v>192</v>
      </c>
      <c r="D100" s="68">
        <v>2</v>
      </c>
      <c r="E100" s="68">
        <v>38</v>
      </c>
      <c r="F100" s="41" t="s">
        <v>150</v>
      </c>
      <c r="G100" s="196"/>
      <c r="H100" s="196" t="s">
        <v>79</v>
      </c>
      <c r="I100" s="77" t="s">
        <v>319</v>
      </c>
      <c r="J100" s="34" t="s">
        <v>137</v>
      </c>
      <c r="K100" s="34"/>
      <c r="L100" s="312"/>
      <c r="M100" s="247"/>
      <c r="N100" s="158"/>
      <c r="O100" s="158"/>
      <c r="P100" s="197"/>
      <c r="Q100" s="304" t="s">
        <v>246</v>
      </c>
      <c r="R100" s="305" t="s">
        <v>7</v>
      </c>
      <c r="S100" s="305">
        <v>0.15</v>
      </c>
      <c r="T100" s="306">
        <v>23</v>
      </c>
      <c r="U100" s="306">
        <v>40.9</v>
      </c>
      <c r="V100" s="323">
        <v>61.45</v>
      </c>
      <c r="W100" s="306">
        <v>50.85</v>
      </c>
      <c r="X100" s="323">
        <v>40.880000000000003</v>
      </c>
      <c r="Y100" s="306" t="s">
        <v>98</v>
      </c>
      <c r="Z100" s="306" t="s">
        <v>98</v>
      </c>
      <c r="AA100" s="324">
        <v>51.05</v>
      </c>
      <c r="AB100" s="80"/>
      <c r="AC100" s="309">
        <v>108</v>
      </c>
      <c r="AD100" s="310" t="s">
        <v>38</v>
      </c>
      <c r="AE100" s="42">
        <v>1.64</v>
      </c>
      <c r="AF100" s="42">
        <v>6.92</v>
      </c>
      <c r="AG100" s="245">
        <v>175.55199999999999</v>
      </c>
      <c r="AH100" s="246">
        <v>179.739</v>
      </c>
      <c r="AI100" s="71"/>
      <c r="AJ100" s="39"/>
      <c r="AK100" s="71"/>
      <c r="AL100" s="39"/>
      <c r="AM100" s="330">
        <f t="shared" si="4"/>
        <v>177.6455</v>
      </c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</row>
    <row r="101" spans="1:65" s="101" customFormat="1" x14ac:dyDescent="0.2">
      <c r="A101" s="33"/>
      <c r="B101" s="33" t="str">
        <f t="shared" ref="B101:B113" si="5">CONCATENATE(C101,"-",D101,"-",$E101,"-",F101,,"-",G101,"-",H101)</f>
        <v>KM2112-2-38-4--A</v>
      </c>
      <c r="C101" s="42" t="s">
        <v>192</v>
      </c>
      <c r="D101" s="68">
        <v>2</v>
      </c>
      <c r="E101" s="68">
        <v>38</v>
      </c>
      <c r="F101" s="41" t="s">
        <v>135</v>
      </c>
      <c r="G101" s="41"/>
      <c r="H101" s="41" t="s">
        <v>78</v>
      </c>
      <c r="I101" s="77" t="s">
        <v>320</v>
      </c>
      <c r="J101" s="34" t="s">
        <v>321</v>
      </c>
      <c r="K101" s="34" t="s">
        <v>322</v>
      </c>
      <c r="L101" s="312"/>
      <c r="M101" s="247">
        <v>20</v>
      </c>
      <c r="N101" s="158">
        <v>21.6</v>
      </c>
      <c r="O101" s="158">
        <v>40.9</v>
      </c>
      <c r="P101" s="197"/>
      <c r="Q101" s="36" t="s">
        <v>63</v>
      </c>
      <c r="R101" s="63" t="s">
        <v>7</v>
      </c>
      <c r="S101" s="63">
        <v>0.15</v>
      </c>
      <c r="T101" s="37">
        <v>25.25</v>
      </c>
      <c r="U101" s="37">
        <v>55</v>
      </c>
      <c r="V101" s="37">
        <v>69</v>
      </c>
      <c r="W101" s="37">
        <v>50.85</v>
      </c>
      <c r="X101" s="37">
        <v>66.349999999999994</v>
      </c>
      <c r="Y101" s="37" t="s">
        <v>98</v>
      </c>
      <c r="Z101" s="37" t="s">
        <v>98</v>
      </c>
      <c r="AA101" s="59">
        <v>53.75</v>
      </c>
      <c r="AB101" s="80"/>
      <c r="AC101" s="65">
        <v>108</v>
      </c>
      <c r="AD101" s="42" t="s">
        <v>38</v>
      </c>
      <c r="AE101" s="42">
        <v>1.64</v>
      </c>
      <c r="AF101" s="42">
        <v>6.92</v>
      </c>
      <c r="AG101" s="245">
        <v>100.932</v>
      </c>
      <c r="AH101" s="246">
        <v>103.276</v>
      </c>
      <c r="AI101" s="71">
        <v>6.02</v>
      </c>
      <c r="AJ101" s="39">
        <v>4490</v>
      </c>
      <c r="AK101" s="71">
        <v>5.22</v>
      </c>
      <c r="AL101" s="39">
        <v>4530</v>
      </c>
      <c r="AM101" s="330">
        <f t="shared" si="4"/>
        <v>102.104</v>
      </c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</row>
    <row r="102" spans="1:65" s="101" customFormat="1" x14ac:dyDescent="0.2">
      <c r="A102" s="33"/>
      <c r="B102" s="33" t="str">
        <f t="shared" si="5"/>
        <v>KM2112-2-38-4--B</v>
      </c>
      <c r="C102" s="42" t="s">
        <v>192</v>
      </c>
      <c r="D102" s="68">
        <v>2</v>
      </c>
      <c r="E102" s="68">
        <v>38</v>
      </c>
      <c r="F102" s="41" t="s">
        <v>135</v>
      </c>
      <c r="G102" s="41"/>
      <c r="H102" s="196" t="s">
        <v>79</v>
      </c>
      <c r="I102" s="77" t="s">
        <v>323</v>
      </c>
      <c r="J102" s="34" t="s">
        <v>324</v>
      </c>
      <c r="K102" s="34"/>
      <c r="L102" s="312"/>
      <c r="M102" s="247"/>
      <c r="N102" s="158"/>
      <c r="O102" s="158"/>
      <c r="P102" s="197"/>
      <c r="Q102" s="304" t="s">
        <v>246</v>
      </c>
      <c r="R102" s="305" t="s">
        <v>7</v>
      </c>
      <c r="S102" s="305">
        <v>0.15</v>
      </c>
      <c r="T102" s="306">
        <v>23</v>
      </c>
      <c r="U102" s="306">
        <v>40.9</v>
      </c>
      <c r="V102" s="323">
        <v>61.45</v>
      </c>
      <c r="W102" s="306">
        <v>50.85</v>
      </c>
      <c r="X102" s="323">
        <v>40.880000000000003</v>
      </c>
      <c r="Y102" s="306" t="s">
        <v>98</v>
      </c>
      <c r="Z102" s="306" t="s">
        <v>98</v>
      </c>
      <c r="AA102" s="324">
        <v>51.05</v>
      </c>
      <c r="AB102" s="80"/>
      <c r="AC102" s="309">
        <v>108</v>
      </c>
      <c r="AD102" s="310" t="s">
        <v>38</v>
      </c>
      <c r="AE102" s="42">
        <v>1.64</v>
      </c>
      <c r="AF102" s="42">
        <v>6.92</v>
      </c>
      <c r="AG102" s="245">
        <v>158.816</v>
      </c>
      <c r="AH102" s="246">
        <v>162.578</v>
      </c>
      <c r="AI102" s="71"/>
      <c r="AJ102" s="39"/>
      <c r="AK102" s="71"/>
      <c r="AL102" s="39"/>
      <c r="AM102" s="330">
        <f t="shared" si="4"/>
        <v>160.697</v>
      </c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</row>
    <row r="103" spans="1:65" s="101" customFormat="1" x14ac:dyDescent="0.2">
      <c r="A103" s="33"/>
      <c r="B103" s="33" t="str">
        <f t="shared" si="5"/>
        <v>KM2112-2-38-1--A</v>
      </c>
      <c r="C103" s="42" t="s">
        <v>192</v>
      </c>
      <c r="D103" s="68">
        <v>2</v>
      </c>
      <c r="E103" s="68">
        <v>38</v>
      </c>
      <c r="F103" s="41" t="s">
        <v>54</v>
      </c>
      <c r="G103" s="41"/>
      <c r="H103" s="41" t="s">
        <v>78</v>
      </c>
      <c r="I103" s="77" t="s">
        <v>325</v>
      </c>
      <c r="J103" s="34" t="s">
        <v>326</v>
      </c>
      <c r="K103" s="34" t="s">
        <v>327</v>
      </c>
      <c r="L103" s="312"/>
      <c r="M103" s="247">
        <v>20</v>
      </c>
      <c r="N103" s="158">
        <v>21.6</v>
      </c>
      <c r="O103" s="158">
        <v>40.9</v>
      </c>
      <c r="P103" s="197"/>
      <c r="Q103" s="36" t="s">
        <v>63</v>
      </c>
      <c r="R103" s="63" t="s">
        <v>7</v>
      </c>
      <c r="S103" s="63">
        <v>0.15</v>
      </c>
      <c r="T103" s="37">
        <v>25.25</v>
      </c>
      <c r="U103" s="37">
        <v>55</v>
      </c>
      <c r="V103" s="37">
        <v>69</v>
      </c>
      <c r="W103" s="37">
        <v>50.85</v>
      </c>
      <c r="X103" s="37">
        <v>66.349999999999994</v>
      </c>
      <c r="Y103" s="37" t="s">
        <v>98</v>
      </c>
      <c r="Z103" s="37" t="s">
        <v>98</v>
      </c>
      <c r="AA103" s="59">
        <v>53.75</v>
      </c>
      <c r="AB103" s="80"/>
      <c r="AC103" s="65">
        <v>108</v>
      </c>
      <c r="AD103" s="42" t="s">
        <v>38</v>
      </c>
      <c r="AE103" s="42">
        <v>1.64</v>
      </c>
      <c r="AF103" s="42">
        <v>6.92</v>
      </c>
      <c r="AG103" s="245">
        <v>98.722999999999999</v>
      </c>
      <c r="AH103" s="246">
        <v>101.032</v>
      </c>
      <c r="AI103" s="71">
        <v>6.11</v>
      </c>
      <c r="AJ103" s="39">
        <v>4480</v>
      </c>
      <c r="AK103" s="71">
        <v>5.15</v>
      </c>
      <c r="AL103" s="39">
        <v>4530</v>
      </c>
      <c r="AM103" s="330">
        <f t="shared" si="4"/>
        <v>99.877499999999998</v>
      </c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</row>
    <row r="104" spans="1:65" s="101" customFormat="1" x14ac:dyDescent="0.2">
      <c r="A104" s="33"/>
      <c r="B104" s="33" t="str">
        <f t="shared" si="5"/>
        <v>KM2112-2-38-1--B</v>
      </c>
      <c r="C104" s="42" t="s">
        <v>192</v>
      </c>
      <c r="D104" s="68">
        <v>2</v>
      </c>
      <c r="E104" s="68">
        <v>38</v>
      </c>
      <c r="F104" s="41" t="s">
        <v>54</v>
      </c>
      <c r="G104" s="41"/>
      <c r="H104" s="196" t="s">
        <v>79</v>
      </c>
      <c r="I104" s="77" t="s">
        <v>328</v>
      </c>
      <c r="J104" s="34" t="s">
        <v>140</v>
      </c>
      <c r="K104" s="34"/>
      <c r="L104" s="312"/>
      <c r="M104" s="247"/>
      <c r="N104" s="158"/>
      <c r="O104" s="158"/>
      <c r="P104" s="197"/>
      <c r="Q104" s="304" t="s">
        <v>246</v>
      </c>
      <c r="R104" s="305" t="s">
        <v>7</v>
      </c>
      <c r="S104" s="305">
        <v>0.15</v>
      </c>
      <c r="T104" s="306">
        <v>23</v>
      </c>
      <c r="U104" s="306">
        <v>40.9</v>
      </c>
      <c r="V104" s="323">
        <v>61.45</v>
      </c>
      <c r="W104" s="306">
        <v>50.85</v>
      </c>
      <c r="X104" s="323">
        <v>40.880000000000003</v>
      </c>
      <c r="Y104" s="306" t="s">
        <v>98</v>
      </c>
      <c r="Z104" s="306" t="s">
        <v>98</v>
      </c>
      <c r="AA104" s="324">
        <v>51.05</v>
      </c>
      <c r="AB104" s="80"/>
      <c r="AC104" s="309">
        <v>108</v>
      </c>
      <c r="AD104" s="310" t="s">
        <v>38</v>
      </c>
      <c r="AE104" s="42">
        <v>1.64</v>
      </c>
      <c r="AF104" s="42">
        <v>6.92</v>
      </c>
      <c r="AG104" s="245">
        <v>166.816</v>
      </c>
      <c r="AH104" s="246">
        <v>170.81800000000001</v>
      </c>
      <c r="AI104" s="71"/>
      <c r="AJ104" s="39"/>
      <c r="AK104" s="71"/>
      <c r="AL104" s="39"/>
      <c r="AM104" s="330">
        <f t="shared" si="4"/>
        <v>168.81700000000001</v>
      </c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</row>
    <row r="105" spans="1:65" s="101" customFormat="1" x14ac:dyDescent="0.2">
      <c r="A105" s="33"/>
      <c r="B105" s="33" t="str">
        <f t="shared" si="5"/>
        <v>-----</v>
      </c>
      <c r="C105" s="42"/>
      <c r="D105" s="68"/>
      <c r="E105" s="68"/>
      <c r="F105" s="68"/>
      <c r="G105" s="41"/>
      <c r="H105" s="288"/>
      <c r="I105" s="77"/>
      <c r="J105" s="34"/>
      <c r="K105" s="34"/>
      <c r="L105" s="312"/>
      <c r="M105" s="247"/>
      <c r="N105" s="158"/>
      <c r="O105" s="158"/>
      <c r="P105" s="197"/>
      <c r="Q105" s="36"/>
      <c r="R105" s="63"/>
      <c r="S105" s="63"/>
      <c r="T105" s="37"/>
      <c r="U105" s="37"/>
      <c r="V105" s="37"/>
      <c r="W105" s="37"/>
      <c r="X105" s="37"/>
      <c r="Y105" s="37"/>
      <c r="Z105" s="37"/>
      <c r="AA105" s="59"/>
      <c r="AB105" s="80"/>
      <c r="AC105" s="65"/>
      <c r="AD105" s="42"/>
      <c r="AE105" s="42"/>
      <c r="AF105" s="42"/>
      <c r="AG105" s="245"/>
      <c r="AH105" s="246"/>
      <c r="AI105" s="71"/>
      <c r="AJ105" s="39"/>
      <c r="AK105" s="71"/>
      <c r="AL105" s="39"/>
      <c r="AM105" s="330" t="e">
        <f t="shared" si="4"/>
        <v>#DIV/0!</v>
      </c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</row>
    <row r="106" spans="1:65" s="101" customFormat="1" x14ac:dyDescent="0.2">
      <c r="A106" s="33"/>
      <c r="B106" s="33" t="str">
        <f t="shared" si="5"/>
        <v>---BDS-SURF-5</v>
      </c>
      <c r="C106" s="42"/>
      <c r="D106" s="68"/>
      <c r="E106" s="68"/>
      <c r="F106" s="41" t="s">
        <v>52</v>
      </c>
      <c r="G106" s="196" t="s">
        <v>45</v>
      </c>
      <c r="H106" s="41" t="s">
        <v>141</v>
      </c>
      <c r="I106" s="77" t="s">
        <v>329</v>
      </c>
      <c r="J106" s="34" t="s">
        <v>330</v>
      </c>
      <c r="K106" s="34" t="s">
        <v>102</v>
      </c>
      <c r="L106" s="312" t="s">
        <v>318</v>
      </c>
      <c r="M106" s="247">
        <v>20</v>
      </c>
      <c r="N106" s="158">
        <v>21.6</v>
      </c>
      <c r="O106" s="158">
        <v>45</v>
      </c>
      <c r="P106" s="197"/>
      <c r="Q106" s="36" t="s">
        <v>63</v>
      </c>
      <c r="R106" s="63" t="s">
        <v>7</v>
      </c>
      <c r="S106" s="63">
        <v>0.15</v>
      </c>
      <c r="T106" s="37">
        <v>25.25</v>
      </c>
      <c r="U106" s="37">
        <v>55</v>
      </c>
      <c r="V106" s="37">
        <v>69</v>
      </c>
      <c r="W106" s="37">
        <v>50.85</v>
      </c>
      <c r="X106" s="37">
        <v>66.349999999999994</v>
      </c>
      <c r="Y106" s="37" t="s">
        <v>98</v>
      </c>
      <c r="Z106" s="37" t="s">
        <v>98</v>
      </c>
      <c r="AA106" s="59">
        <v>53.75</v>
      </c>
      <c r="AB106" s="80"/>
      <c r="AC106" s="65">
        <v>108</v>
      </c>
      <c r="AD106" s="42" t="s">
        <v>38</v>
      </c>
      <c r="AE106" s="42">
        <v>1.64</v>
      </c>
      <c r="AF106" s="42">
        <v>6.92</v>
      </c>
      <c r="AG106" s="245">
        <v>38.76</v>
      </c>
      <c r="AH106" s="246">
        <v>39.991999999999997</v>
      </c>
      <c r="AI106" s="71">
        <v>5.15</v>
      </c>
      <c r="AJ106" s="39">
        <v>4470</v>
      </c>
      <c r="AK106" s="71">
        <v>4.63</v>
      </c>
      <c r="AL106" s="39">
        <v>4520</v>
      </c>
      <c r="AM106" s="330">
        <f t="shared" si="4"/>
        <v>39.375999999999998</v>
      </c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</row>
    <row r="107" spans="1:65" s="101" customFormat="1" x14ac:dyDescent="0.2">
      <c r="A107" s="33"/>
      <c r="B107" s="33" t="str">
        <f t="shared" si="5"/>
        <v>-----</v>
      </c>
      <c r="C107" s="42"/>
      <c r="D107" s="68"/>
      <c r="E107" s="68"/>
      <c r="F107" s="68"/>
      <c r="G107" s="41"/>
      <c r="H107" s="289"/>
      <c r="I107" s="77"/>
      <c r="J107" s="34"/>
      <c r="K107" s="34"/>
      <c r="L107" s="312"/>
      <c r="M107" s="247"/>
      <c r="N107" s="158"/>
      <c r="O107" s="158"/>
      <c r="P107" s="197"/>
      <c r="Q107" s="36"/>
      <c r="R107" s="63"/>
      <c r="S107" s="63"/>
      <c r="T107" s="37"/>
      <c r="U107" s="37"/>
      <c r="V107" s="37"/>
      <c r="W107" s="37"/>
      <c r="X107" s="37"/>
      <c r="Y107" s="37"/>
      <c r="Z107" s="37"/>
      <c r="AA107" s="59"/>
      <c r="AB107" s="80"/>
      <c r="AC107" s="65"/>
      <c r="AD107" s="42"/>
      <c r="AE107" s="42"/>
      <c r="AF107" s="42"/>
      <c r="AG107" s="245"/>
      <c r="AH107" s="246"/>
      <c r="AI107" s="71"/>
      <c r="AJ107" s="39"/>
      <c r="AK107" s="71"/>
      <c r="AL107" s="39"/>
      <c r="AM107" s="329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4"/>
      <c r="BK107" s="94"/>
      <c r="BL107" s="94"/>
      <c r="BM107" s="94"/>
    </row>
    <row r="108" spans="1:65" s="101" customFormat="1" x14ac:dyDescent="0.2">
      <c r="A108" s="33"/>
      <c r="B108" s="33" t="str">
        <f t="shared" si="5"/>
        <v>-----</v>
      </c>
      <c r="C108" s="42"/>
      <c r="D108" s="68"/>
      <c r="E108" s="68"/>
      <c r="F108" s="68"/>
      <c r="G108" s="41"/>
      <c r="H108" s="289"/>
      <c r="I108" s="77"/>
      <c r="J108" s="34"/>
      <c r="K108" s="34"/>
      <c r="L108" s="312"/>
      <c r="M108" s="248"/>
      <c r="N108" s="243"/>
      <c r="O108" s="243"/>
      <c r="P108" s="68"/>
      <c r="Q108" s="251"/>
      <c r="R108" s="216"/>
      <c r="S108" s="252"/>
      <c r="T108" s="252"/>
      <c r="U108" s="252"/>
      <c r="V108" s="252"/>
      <c r="W108" s="252"/>
      <c r="X108" s="252"/>
      <c r="Y108" s="252"/>
      <c r="Z108" s="252"/>
      <c r="AA108" s="253"/>
      <c r="AB108" s="255"/>
      <c r="AC108" s="256"/>
      <c r="AD108" s="253"/>
      <c r="AE108" s="254"/>
      <c r="AF108" s="254"/>
      <c r="AG108" s="245"/>
      <c r="AH108" s="246"/>
      <c r="AI108" s="71"/>
      <c r="AJ108" s="39"/>
      <c r="AK108" s="71"/>
      <c r="AL108" s="39"/>
      <c r="AM108" s="329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</row>
    <row r="109" spans="1:65" s="101" customFormat="1" x14ac:dyDescent="0.2">
      <c r="A109" s="33"/>
      <c r="B109" s="33" t="str">
        <f t="shared" si="5"/>
        <v>-----</v>
      </c>
      <c r="C109" s="42"/>
      <c r="D109" s="68"/>
      <c r="E109" s="68"/>
      <c r="F109" s="68"/>
      <c r="G109" s="41"/>
      <c r="H109" s="288"/>
      <c r="I109" s="77"/>
      <c r="J109" s="34"/>
      <c r="K109" s="34"/>
      <c r="L109" s="312"/>
      <c r="M109" s="247"/>
      <c r="N109" s="158"/>
      <c r="O109" s="158"/>
      <c r="P109" s="197"/>
      <c r="Q109" s="36"/>
      <c r="R109" s="63"/>
      <c r="S109" s="63"/>
      <c r="T109" s="37"/>
      <c r="U109" s="37"/>
      <c r="V109" s="37"/>
      <c r="W109" s="37"/>
      <c r="X109" s="37"/>
      <c r="Y109" s="37"/>
      <c r="Z109" s="37"/>
      <c r="AA109" s="59"/>
      <c r="AB109" s="80"/>
      <c r="AC109" s="65"/>
      <c r="AD109" s="42"/>
      <c r="AE109" s="42"/>
      <c r="AF109" s="42"/>
      <c r="AG109" s="245"/>
      <c r="AH109" s="246"/>
      <c r="AI109" s="71"/>
      <c r="AJ109" s="39"/>
      <c r="AK109" s="71"/>
      <c r="AL109" s="39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</row>
    <row r="110" spans="1:65" s="101" customFormat="1" x14ac:dyDescent="0.2">
      <c r="A110" s="33"/>
      <c r="B110" s="33" t="str">
        <f t="shared" si="5"/>
        <v>-----</v>
      </c>
      <c r="C110" s="42"/>
      <c r="D110" s="68"/>
      <c r="E110" s="68"/>
      <c r="F110" s="68"/>
      <c r="G110" s="41"/>
      <c r="H110" s="288"/>
      <c r="I110" s="220"/>
      <c r="J110" s="34"/>
      <c r="K110" s="34"/>
      <c r="L110" s="312"/>
      <c r="M110" s="248"/>
      <c r="N110" s="243"/>
      <c r="O110" s="243"/>
      <c r="P110" s="68"/>
      <c r="Q110" s="251"/>
      <c r="R110" s="216"/>
      <c r="S110" s="252"/>
      <c r="T110" s="252"/>
      <c r="U110" s="252"/>
      <c r="V110" s="252"/>
      <c r="W110" s="252"/>
      <c r="X110" s="252"/>
      <c r="Y110" s="252"/>
      <c r="Z110" s="252"/>
      <c r="AA110" s="253"/>
      <c r="AB110" s="255"/>
      <c r="AC110" s="256"/>
      <c r="AD110" s="253"/>
      <c r="AE110" s="254"/>
      <c r="AF110" s="254"/>
      <c r="AG110" s="245"/>
      <c r="AH110" s="246"/>
      <c r="AI110" s="71"/>
      <c r="AJ110" s="39"/>
      <c r="AK110" s="71"/>
      <c r="AL110" s="39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  <c r="BM110" s="94"/>
    </row>
    <row r="111" spans="1:65" s="101" customFormat="1" x14ac:dyDescent="0.2">
      <c r="A111" s="33"/>
      <c r="B111" s="33" t="str">
        <f t="shared" si="5"/>
        <v>-----</v>
      </c>
      <c r="C111" s="42"/>
      <c r="D111" s="68"/>
      <c r="E111" s="68"/>
      <c r="F111" s="68"/>
      <c r="G111" s="41"/>
      <c r="H111" s="289"/>
      <c r="I111" s="220"/>
      <c r="J111" s="34"/>
      <c r="K111" s="34"/>
      <c r="L111" s="312"/>
      <c r="M111" s="247"/>
      <c r="N111" s="158"/>
      <c r="O111" s="158"/>
      <c r="P111" s="197"/>
      <c r="Q111" s="36"/>
      <c r="R111" s="63"/>
      <c r="S111" s="63"/>
      <c r="T111" s="37"/>
      <c r="U111" s="37"/>
      <c r="V111" s="37"/>
      <c r="W111" s="37"/>
      <c r="X111" s="37"/>
      <c r="Y111" s="37"/>
      <c r="Z111" s="37"/>
      <c r="AA111" s="59"/>
      <c r="AB111" s="80"/>
      <c r="AC111" s="65"/>
      <c r="AD111" s="42"/>
      <c r="AE111" s="42"/>
      <c r="AF111" s="42"/>
      <c r="AG111" s="245"/>
      <c r="AH111" s="246"/>
      <c r="AI111" s="71"/>
      <c r="AJ111" s="39"/>
      <c r="AK111" s="71"/>
      <c r="AL111" s="39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  <c r="BI111" s="94"/>
      <c r="BJ111" s="94"/>
      <c r="BK111" s="94"/>
      <c r="BL111" s="94"/>
      <c r="BM111" s="94"/>
    </row>
    <row r="112" spans="1:65" s="101" customFormat="1" x14ac:dyDescent="0.2">
      <c r="A112" s="33"/>
      <c r="B112" s="33" t="str">
        <f t="shared" si="5"/>
        <v>-----</v>
      </c>
      <c r="C112" s="42"/>
      <c r="D112" s="68"/>
      <c r="E112" s="68"/>
      <c r="F112" s="68"/>
      <c r="G112" s="41"/>
      <c r="H112" s="289"/>
      <c r="I112" s="220"/>
      <c r="J112" s="34"/>
      <c r="K112" s="34"/>
      <c r="L112" s="312"/>
      <c r="M112" s="247"/>
      <c r="N112" s="158"/>
      <c r="O112" s="158"/>
      <c r="P112" s="197"/>
      <c r="Q112" s="251"/>
      <c r="R112" s="216"/>
      <c r="S112" s="252"/>
      <c r="T112" s="252"/>
      <c r="U112" s="252"/>
      <c r="V112" s="252"/>
      <c r="W112" s="252"/>
      <c r="X112" s="252"/>
      <c r="Y112" s="252"/>
      <c r="Z112" s="252"/>
      <c r="AA112" s="253"/>
      <c r="AB112" s="255"/>
      <c r="AC112" s="256"/>
      <c r="AD112" s="253"/>
      <c r="AE112" s="254"/>
      <c r="AF112" s="254"/>
      <c r="AG112" s="245"/>
      <c r="AH112" s="246"/>
      <c r="AI112" s="71"/>
      <c r="AJ112" s="39"/>
      <c r="AK112" s="71"/>
      <c r="AL112" s="39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/>
      <c r="BJ112" s="94"/>
      <c r="BK112" s="94"/>
      <c r="BL112" s="94"/>
      <c r="BM112" s="94"/>
    </row>
    <row r="113" spans="1:65" s="101" customFormat="1" x14ac:dyDescent="0.2">
      <c r="A113" s="33"/>
      <c r="B113" s="33" t="str">
        <f t="shared" si="5"/>
        <v>-----</v>
      </c>
      <c r="C113" s="42"/>
      <c r="D113" s="68"/>
      <c r="E113" s="68"/>
      <c r="F113" s="68"/>
      <c r="G113" s="196"/>
      <c r="H113" s="288"/>
      <c r="I113" s="257"/>
      <c r="J113" s="34"/>
      <c r="K113" s="34"/>
      <c r="L113" s="312"/>
      <c r="M113" s="247"/>
      <c r="N113" s="158"/>
      <c r="O113" s="158"/>
      <c r="P113" s="197"/>
      <c r="Q113" s="36"/>
      <c r="R113" s="63"/>
      <c r="S113" s="63"/>
      <c r="T113" s="37"/>
      <c r="U113" s="37"/>
      <c r="V113" s="37"/>
      <c r="W113" s="37"/>
      <c r="X113" s="37"/>
      <c r="Y113" s="37"/>
      <c r="Z113" s="37"/>
      <c r="AA113" s="59"/>
      <c r="AB113" s="80"/>
      <c r="AC113" s="65"/>
      <c r="AD113" s="42"/>
      <c r="AE113" s="42"/>
      <c r="AF113" s="42"/>
      <c r="AG113" s="245"/>
      <c r="AH113" s="246"/>
      <c r="AI113" s="71"/>
      <c r="AJ113" s="39"/>
      <c r="AK113" s="71"/>
      <c r="AL113" s="39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94"/>
      <c r="BK113" s="94"/>
      <c r="BL113" s="94"/>
      <c r="BM113" s="94"/>
    </row>
    <row r="114" spans="1:65" s="101" customFormat="1" x14ac:dyDescent="0.2">
      <c r="A114" s="33"/>
      <c r="B114" s="33" t="str">
        <f t="shared" ref="B114:B135" si="6">CONCATENATE(C114,"-",D114,"-",$E114,"-",F114,,"-",G114,"-",H114)</f>
        <v>-----</v>
      </c>
      <c r="C114" s="42"/>
      <c r="D114" s="68"/>
      <c r="E114" s="68"/>
      <c r="F114" s="68"/>
      <c r="G114" s="196"/>
      <c r="H114" s="288"/>
      <c r="I114" s="257"/>
      <c r="J114" s="34"/>
      <c r="K114" s="34"/>
      <c r="L114" s="312"/>
      <c r="M114" s="247"/>
      <c r="N114" s="158"/>
      <c r="O114" s="158"/>
      <c r="P114" s="197"/>
      <c r="Q114" s="251"/>
      <c r="R114" s="216"/>
      <c r="S114" s="252"/>
      <c r="T114" s="252"/>
      <c r="U114" s="252"/>
      <c r="V114" s="252"/>
      <c r="W114" s="252"/>
      <c r="X114" s="252"/>
      <c r="Y114" s="252"/>
      <c r="Z114" s="252"/>
      <c r="AA114" s="253"/>
      <c r="AB114" s="255"/>
      <c r="AC114" s="256"/>
      <c r="AD114" s="253"/>
      <c r="AE114" s="254"/>
      <c r="AF114" s="254"/>
      <c r="AG114" s="245"/>
      <c r="AH114" s="246"/>
      <c r="AI114" s="71"/>
      <c r="AJ114" s="39"/>
      <c r="AK114" s="71"/>
      <c r="AL114" s="39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4"/>
      <c r="BK114" s="94"/>
      <c r="BL114" s="94"/>
      <c r="BM114" s="94"/>
    </row>
    <row r="115" spans="1:65" s="101" customFormat="1" x14ac:dyDescent="0.2">
      <c r="A115" s="33"/>
      <c r="B115" s="33" t="str">
        <f t="shared" si="6"/>
        <v>-----</v>
      </c>
      <c r="C115" s="42"/>
      <c r="D115" s="68"/>
      <c r="E115" s="68"/>
      <c r="F115" s="68"/>
      <c r="G115" s="196"/>
      <c r="H115" s="289"/>
      <c r="I115" s="257"/>
      <c r="J115" s="34"/>
      <c r="K115" s="34"/>
      <c r="L115" s="312"/>
      <c r="M115" s="247"/>
      <c r="N115" s="158"/>
      <c r="O115" s="158"/>
      <c r="P115" s="197"/>
      <c r="Q115" s="36"/>
      <c r="R115" s="63"/>
      <c r="S115" s="63"/>
      <c r="T115" s="37"/>
      <c r="U115" s="37"/>
      <c r="V115" s="37"/>
      <c r="W115" s="37"/>
      <c r="X115" s="37"/>
      <c r="Y115" s="37"/>
      <c r="Z115" s="37"/>
      <c r="AA115" s="59"/>
      <c r="AB115" s="80"/>
      <c r="AC115" s="65"/>
      <c r="AD115" s="42"/>
      <c r="AE115" s="42"/>
      <c r="AF115" s="42"/>
      <c r="AG115" s="245"/>
      <c r="AH115" s="246"/>
      <c r="AI115" s="71"/>
      <c r="AJ115" s="39"/>
      <c r="AK115" s="71"/>
      <c r="AL115" s="39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4"/>
      <c r="BI115" s="94"/>
      <c r="BJ115" s="94"/>
      <c r="BK115" s="94"/>
      <c r="BL115" s="94"/>
      <c r="BM115" s="94"/>
    </row>
    <row r="116" spans="1:65" s="101" customFormat="1" x14ac:dyDescent="0.2">
      <c r="A116" s="33"/>
      <c r="B116" s="33" t="str">
        <f t="shared" si="6"/>
        <v>-----</v>
      </c>
      <c r="C116" s="42"/>
      <c r="D116" s="68"/>
      <c r="E116" s="68"/>
      <c r="F116" s="68"/>
      <c r="G116" s="196"/>
      <c r="H116" s="289"/>
      <c r="I116" s="257"/>
      <c r="J116" s="34"/>
      <c r="K116" s="34"/>
      <c r="L116" s="312"/>
      <c r="M116" s="247"/>
      <c r="N116" s="158"/>
      <c r="O116" s="158"/>
      <c r="P116" s="197"/>
      <c r="Q116" s="251"/>
      <c r="R116" s="216"/>
      <c r="S116" s="252"/>
      <c r="T116" s="252"/>
      <c r="U116" s="252"/>
      <c r="V116" s="252"/>
      <c r="W116" s="252"/>
      <c r="X116" s="252"/>
      <c r="Y116" s="252"/>
      <c r="Z116" s="252"/>
      <c r="AA116" s="253"/>
      <c r="AB116" s="255"/>
      <c r="AC116" s="256"/>
      <c r="AD116" s="253"/>
      <c r="AE116" s="254"/>
      <c r="AF116" s="254"/>
      <c r="AG116" s="245"/>
      <c r="AH116" s="246"/>
      <c r="AI116" s="71"/>
      <c r="AJ116" s="39"/>
      <c r="AK116" s="71"/>
      <c r="AL116" s="39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4"/>
      <c r="BJ116" s="94"/>
      <c r="BK116" s="94"/>
      <c r="BL116" s="94"/>
      <c r="BM116" s="94"/>
    </row>
    <row r="117" spans="1:65" s="101" customFormat="1" x14ac:dyDescent="0.2">
      <c r="A117" s="33"/>
      <c r="B117" s="33" t="str">
        <f t="shared" si="6"/>
        <v>-----</v>
      </c>
      <c r="C117" s="42"/>
      <c r="D117" s="68"/>
      <c r="E117" s="68"/>
      <c r="F117" s="68"/>
      <c r="G117" s="41"/>
      <c r="H117" s="288"/>
      <c r="I117" s="257"/>
      <c r="J117" s="34"/>
      <c r="K117" s="34"/>
      <c r="L117" s="312"/>
      <c r="M117" s="247"/>
      <c r="N117" s="158"/>
      <c r="O117" s="158"/>
      <c r="P117" s="197"/>
      <c r="Q117" s="36"/>
      <c r="R117" s="63"/>
      <c r="S117" s="63"/>
      <c r="T117" s="37"/>
      <c r="U117" s="37"/>
      <c r="V117" s="37"/>
      <c r="W117" s="37"/>
      <c r="X117" s="37"/>
      <c r="Y117" s="37"/>
      <c r="Z117" s="37"/>
      <c r="AA117" s="59"/>
      <c r="AB117" s="80"/>
      <c r="AC117" s="65"/>
      <c r="AD117" s="42"/>
      <c r="AE117" s="42"/>
      <c r="AF117" s="42"/>
      <c r="AG117" s="245"/>
      <c r="AH117" s="246"/>
      <c r="AI117" s="71"/>
      <c r="AJ117" s="39"/>
      <c r="AK117" s="71"/>
      <c r="AL117" s="39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4"/>
      <c r="BI117" s="94"/>
      <c r="BJ117" s="94"/>
      <c r="BK117" s="94"/>
      <c r="BL117" s="94"/>
      <c r="BM117" s="94"/>
    </row>
    <row r="118" spans="1:65" s="101" customFormat="1" x14ac:dyDescent="0.2">
      <c r="A118" s="33"/>
      <c r="B118" s="33" t="str">
        <f t="shared" si="6"/>
        <v>-----</v>
      </c>
      <c r="C118" s="42"/>
      <c r="D118" s="68"/>
      <c r="E118" s="68"/>
      <c r="F118" s="68"/>
      <c r="G118" s="41"/>
      <c r="H118" s="288"/>
      <c r="I118" s="257"/>
      <c r="J118" s="34"/>
      <c r="K118" s="34"/>
      <c r="L118" s="312"/>
      <c r="M118" s="247"/>
      <c r="N118" s="158"/>
      <c r="O118" s="158"/>
      <c r="P118" s="197"/>
      <c r="Q118" s="251"/>
      <c r="R118" s="216"/>
      <c r="S118" s="252"/>
      <c r="T118" s="252"/>
      <c r="U118" s="252"/>
      <c r="V118" s="252"/>
      <c r="W118" s="252"/>
      <c r="X118" s="252"/>
      <c r="Y118" s="252"/>
      <c r="Z118" s="252"/>
      <c r="AA118" s="253"/>
      <c r="AB118" s="255"/>
      <c r="AC118" s="256"/>
      <c r="AD118" s="253"/>
      <c r="AE118" s="254"/>
      <c r="AF118" s="254"/>
      <c r="AG118" s="245"/>
      <c r="AH118" s="246"/>
      <c r="AI118" s="71"/>
      <c r="AJ118" s="39"/>
      <c r="AK118" s="71"/>
      <c r="AL118" s="39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  <c r="BM118" s="94"/>
    </row>
    <row r="119" spans="1:65" s="101" customFormat="1" x14ac:dyDescent="0.2">
      <c r="A119" s="33"/>
      <c r="B119" s="33" t="str">
        <f t="shared" si="6"/>
        <v>-----</v>
      </c>
      <c r="C119" s="42"/>
      <c r="D119" s="68"/>
      <c r="E119" s="68"/>
      <c r="F119" s="68"/>
      <c r="G119" s="41"/>
      <c r="H119" s="289"/>
      <c r="I119" s="257"/>
      <c r="J119" s="34"/>
      <c r="K119" s="34"/>
      <c r="L119" s="312"/>
      <c r="M119" s="247"/>
      <c r="N119" s="158"/>
      <c r="O119" s="158"/>
      <c r="P119" s="197"/>
      <c r="Q119" s="36"/>
      <c r="R119" s="63"/>
      <c r="S119" s="63"/>
      <c r="T119" s="37"/>
      <c r="U119" s="37"/>
      <c r="V119" s="37"/>
      <c r="W119" s="37"/>
      <c r="X119" s="37"/>
      <c r="Y119" s="37"/>
      <c r="Z119" s="37"/>
      <c r="AA119" s="59"/>
      <c r="AB119" s="80"/>
      <c r="AC119" s="65"/>
      <c r="AD119" s="42"/>
      <c r="AE119" s="42"/>
      <c r="AF119" s="42"/>
      <c r="AG119" s="245"/>
      <c r="AH119" s="246"/>
      <c r="AI119" s="71"/>
      <c r="AJ119" s="39"/>
      <c r="AK119" s="71"/>
      <c r="AL119" s="39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4"/>
      <c r="BI119" s="94"/>
      <c r="BJ119" s="94"/>
      <c r="BK119" s="94"/>
      <c r="BL119" s="94"/>
      <c r="BM119" s="94"/>
    </row>
    <row r="120" spans="1:65" s="101" customFormat="1" x14ac:dyDescent="0.2">
      <c r="A120" s="33"/>
      <c r="B120" s="33" t="str">
        <f t="shared" si="6"/>
        <v>-----</v>
      </c>
      <c r="C120" s="42"/>
      <c r="D120" s="68"/>
      <c r="E120" s="68"/>
      <c r="F120" s="68"/>
      <c r="G120" s="41"/>
      <c r="H120" s="289"/>
      <c r="I120" s="257"/>
      <c r="J120" s="34"/>
      <c r="K120" s="34"/>
      <c r="L120" s="312"/>
      <c r="M120" s="247"/>
      <c r="N120" s="158"/>
      <c r="O120" s="158"/>
      <c r="P120" s="197"/>
      <c r="Q120" s="251"/>
      <c r="R120" s="216"/>
      <c r="S120" s="252"/>
      <c r="T120" s="252"/>
      <c r="U120" s="252"/>
      <c r="V120" s="252"/>
      <c r="W120" s="252"/>
      <c r="X120" s="252"/>
      <c r="Y120" s="252"/>
      <c r="Z120" s="252"/>
      <c r="AA120" s="253"/>
      <c r="AB120" s="255"/>
      <c r="AC120" s="256"/>
      <c r="AD120" s="253"/>
      <c r="AE120" s="254"/>
      <c r="AF120" s="254"/>
      <c r="AG120" s="245"/>
      <c r="AH120" s="246"/>
      <c r="AI120" s="71"/>
      <c r="AJ120" s="39"/>
      <c r="AK120" s="71"/>
      <c r="AL120" s="39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</row>
    <row r="121" spans="1:65" s="101" customFormat="1" x14ac:dyDescent="0.2">
      <c r="A121" s="33"/>
      <c r="B121" s="33" t="str">
        <f t="shared" si="6"/>
        <v>-----</v>
      </c>
      <c r="C121" s="42"/>
      <c r="D121" s="68"/>
      <c r="E121" s="68"/>
      <c r="F121" s="68"/>
      <c r="G121" s="41"/>
      <c r="H121" s="288"/>
      <c r="I121" s="77"/>
      <c r="J121" s="34"/>
      <c r="K121" s="34"/>
      <c r="L121" s="312"/>
      <c r="M121" s="247"/>
      <c r="N121" s="158"/>
      <c r="O121" s="158"/>
      <c r="P121" s="197"/>
      <c r="Q121" s="36"/>
      <c r="R121" s="63"/>
      <c r="S121" s="63"/>
      <c r="T121" s="37"/>
      <c r="U121" s="37"/>
      <c r="V121" s="37"/>
      <c r="W121" s="37"/>
      <c r="X121" s="37"/>
      <c r="Y121" s="37"/>
      <c r="Z121" s="37"/>
      <c r="AA121" s="59"/>
      <c r="AB121" s="80"/>
      <c r="AC121" s="65"/>
      <c r="AD121" s="42"/>
      <c r="AE121" s="42"/>
      <c r="AF121" s="42"/>
      <c r="AG121" s="245"/>
      <c r="AH121" s="246"/>
      <c r="AI121" s="71"/>
      <c r="AJ121" s="39"/>
      <c r="AK121" s="71"/>
      <c r="AL121" s="39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4"/>
      <c r="BI121" s="94"/>
      <c r="BJ121" s="94"/>
      <c r="BK121" s="94"/>
      <c r="BL121" s="94"/>
      <c r="BM121" s="94"/>
    </row>
    <row r="122" spans="1:65" s="101" customFormat="1" x14ac:dyDescent="0.2">
      <c r="A122" s="33"/>
      <c r="B122" s="33" t="str">
        <f t="shared" si="6"/>
        <v>-----</v>
      </c>
      <c r="C122" s="42"/>
      <c r="D122" s="68"/>
      <c r="E122" s="68"/>
      <c r="F122" s="68"/>
      <c r="G122" s="41"/>
      <c r="H122" s="288"/>
      <c r="I122" s="77"/>
      <c r="J122" s="34"/>
      <c r="K122" s="34"/>
      <c r="L122" s="312"/>
      <c r="M122" s="247"/>
      <c r="N122" s="158"/>
      <c r="O122" s="158"/>
      <c r="P122" s="197"/>
      <c r="Q122" s="36"/>
      <c r="R122" s="63"/>
      <c r="S122" s="63"/>
      <c r="T122" s="37"/>
      <c r="U122" s="37"/>
      <c r="V122" s="37"/>
      <c r="W122" s="37"/>
      <c r="X122" s="37"/>
      <c r="Y122" s="37"/>
      <c r="Z122" s="37"/>
      <c r="AA122" s="59"/>
      <c r="AB122" s="80"/>
      <c r="AC122" s="65"/>
      <c r="AD122" s="42"/>
      <c r="AE122" s="42"/>
      <c r="AF122" s="42"/>
      <c r="AG122" s="245"/>
      <c r="AH122" s="246"/>
      <c r="AI122" s="71"/>
      <c r="AJ122" s="39"/>
      <c r="AK122" s="71"/>
      <c r="AL122" s="39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4"/>
      <c r="BI122" s="94"/>
      <c r="BJ122" s="94"/>
      <c r="BK122" s="94"/>
      <c r="BL122" s="94"/>
      <c r="BM122" s="94"/>
    </row>
    <row r="123" spans="1:65" s="101" customFormat="1" x14ac:dyDescent="0.2">
      <c r="A123" s="33"/>
      <c r="B123" s="33" t="str">
        <f t="shared" si="6"/>
        <v>-----</v>
      </c>
      <c r="C123" s="42"/>
      <c r="D123" s="68"/>
      <c r="E123" s="68"/>
      <c r="F123" s="68"/>
      <c r="G123" s="41"/>
      <c r="H123" s="288"/>
      <c r="I123" s="77"/>
      <c r="J123" s="34"/>
      <c r="K123" s="34"/>
      <c r="L123" s="312"/>
      <c r="M123" s="247"/>
      <c r="N123" s="158"/>
      <c r="O123" s="158"/>
      <c r="P123" s="197"/>
      <c r="Q123" s="36"/>
      <c r="R123" s="63"/>
      <c r="S123" s="63"/>
      <c r="T123" s="37"/>
      <c r="U123" s="37"/>
      <c r="V123" s="37"/>
      <c r="W123" s="37"/>
      <c r="X123" s="37"/>
      <c r="Y123" s="37"/>
      <c r="Z123" s="37"/>
      <c r="AA123" s="59"/>
      <c r="AB123" s="80"/>
      <c r="AC123" s="65"/>
      <c r="AD123" s="42"/>
      <c r="AE123" s="42"/>
      <c r="AF123" s="42"/>
      <c r="AG123" s="245"/>
      <c r="AH123" s="246"/>
      <c r="AI123" s="71"/>
      <c r="AJ123" s="39"/>
      <c r="AK123" s="71"/>
      <c r="AL123" s="39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4"/>
      <c r="BI123" s="94"/>
      <c r="BJ123" s="94"/>
      <c r="BK123" s="94"/>
      <c r="BL123" s="94"/>
      <c r="BM123" s="94"/>
    </row>
    <row r="124" spans="1:65" s="101" customFormat="1" x14ac:dyDescent="0.2">
      <c r="A124" s="33"/>
      <c r="B124" s="33" t="str">
        <f t="shared" si="6"/>
        <v>-----</v>
      </c>
      <c r="C124" s="42"/>
      <c r="D124" s="68"/>
      <c r="E124" s="68"/>
      <c r="F124" s="68"/>
      <c r="G124" s="41"/>
      <c r="H124" s="288"/>
      <c r="I124" s="77"/>
      <c r="J124" s="34"/>
      <c r="K124" s="34"/>
      <c r="L124" s="312"/>
      <c r="M124" s="247"/>
      <c r="N124" s="158"/>
      <c r="O124" s="158"/>
      <c r="P124" s="197"/>
      <c r="Q124" s="251"/>
      <c r="R124" s="216"/>
      <c r="S124" s="252"/>
      <c r="T124" s="252"/>
      <c r="U124" s="252"/>
      <c r="V124" s="252"/>
      <c r="W124" s="252"/>
      <c r="X124" s="252"/>
      <c r="Y124" s="252"/>
      <c r="Z124" s="252"/>
      <c r="AA124" s="253"/>
      <c r="AB124" s="255"/>
      <c r="AC124" s="256"/>
      <c r="AD124" s="253"/>
      <c r="AE124" s="254"/>
      <c r="AF124" s="254"/>
      <c r="AG124" s="245"/>
      <c r="AH124" s="246"/>
      <c r="AI124" s="71"/>
      <c r="AJ124" s="39"/>
      <c r="AK124" s="71"/>
      <c r="AL124" s="39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4"/>
      <c r="BI124" s="94"/>
      <c r="BJ124" s="94"/>
      <c r="BK124" s="94"/>
      <c r="BL124" s="94"/>
      <c r="BM124" s="94"/>
    </row>
    <row r="125" spans="1:65" s="101" customFormat="1" x14ac:dyDescent="0.2">
      <c r="A125" s="33"/>
      <c r="B125" s="33" t="str">
        <f t="shared" si="6"/>
        <v>-----</v>
      </c>
      <c r="C125" s="42"/>
      <c r="D125" s="68"/>
      <c r="E125" s="68"/>
      <c r="F125" s="68"/>
      <c r="G125" s="41"/>
      <c r="H125" s="289"/>
      <c r="I125" s="220"/>
      <c r="J125" s="34"/>
      <c r="K125" s="34"/>
      <c r="L125" s="312"/>
      <c r="M125" s="247"/>
      <c r="N125" s="158"/>
      <c r="O125" s="158"/>
      <c r="P125" s="197"/>
      <c r="Q125" s="36"/>
      <c r="R125" s="63"/>
      <c r="S125" s="63"/>
      <c r="T125" s="37"/>
      <c r="U125" s="37"/>
      <c r="V125" s="37"/>
      <c r="W125" s="37"/>
      <c r="X125" s="37"/>
      <c r="Y125" s="37"/>
      <c r="Z125" s="37"/>
      <c r="AA125" s="59"/>
      <c r="AB125" s="80"/>
      <c r="AC125" s="65"/>
      <c r="AD125" s="42"/>
      <c r="AE125" s="42"/>
      <c r="AF125" s="42"/>
      <c r="AG125" s="245"/>
      <c r="AH125" s="246"/>
      <c r="AI125" s="71"/>
      <c r="AJ125" s="39"/>
      <c r="AK125" s="71"/>
      <c r="AL125" s="39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  <c r="BG125" s="94"/>
      <c r="BH125" s="94"/>
      <c r="BI125" s="94"/>
      <c r="BJ125" s="94"/>
      <c r="BK125" s="94"/>
      <c r="BL125" s="94"/>
      <c r="BM125" s="94"/>
    </row>
    <row r="126" spans="1:65" s="101" customFormat="1" x14ac:dyDescent="0.2">
      <c r="A126" s="128"/>
      <c r="B126" s="33" t="str">
        <f t="shared" si="6"/>
        <v>-----</v>
      </c>
      <c r="C126" s="42"/>
      <c r="D126" s="68"/>
      <c r="E126" s="68"/>
      <c r="F126" s="68"/>
      <c r="G126" s="41"/>
      <c r="H126" s="288"/>
      <c r="I126" s="77"/>
      <c r="J126" s="34"/>
      <c r="K126" s="34"/>
      <c r="L126" s="312"/>
      <c r="M126" s="247"/>
      <c r="N126" s="158"/>
      <c r="O126" s="158"/>
      <c r="P126" s="197"/>
      <c r="Q126" s="36"/>
      <c r="R126" s="63"/>
      <c r="S126" s="63"/>
      <c r="T126" s="37"/>
      <c r="U126" s="37"/>
      <c r="V126" s="37"/>
      <c r="W126" s="37"/>
      <c r="X126" s="37"/>
      <c r="Y126" s="37"/>
      <c r="Z126" s="37"/>
      <c r="AA126" s="59"/>
      <c r="AB126" s="80"/>
      <c r="AC126" s="65"/>
      <c r="AD126" s="42"/>
      <c r="AE126" s="42"/>
      <c r="AF126" s="42"/>
      <c r="AG126" s="245"/>
      <c r="AH126" s="246"/>
      <c r="AI126" s="71"/>
      <c r="AJ126" s="39"/>
      <c r="AK126" s="71"/>
      <c r="AL126" s="39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4"/>
      <c r="BI126" s="94"/>
      <c r="BJ126" s="94"/>
      <c r="BK126" s="94"/>
      <c r="BL126" s="94"/>
      <c r="BM126" s="94"/>
    </row>
    <row r="127" spans="1:65" s="101" customFormat="1" x14ac:dyDescent="0.2">
      <c r="A127" s="128"/>
      <c r="B127" s="33" t="str">
        <f t="shared" si="6"/>
        <v>-----</v>
      </c>
      <c r="C127" s="42"/>
      <c r="D127" s="68"/>
      <c r="E127" s="68"/>
      <c r="F127" s="68"/>
      <c r="G127" s="41"/>
      <c r="H127" s="288"/>
      <c r="I127" s="77"/>
      <c r="J127" s="34"/>
      <c r="K127" s="34"/>
      <c r="L127" s="312"/>
      <c r="M127" s="247"/>
      <c r="N127" s="158"/>
      <c r="O127" s="158"/>
      <c r="P127" s="197"/>
      <c r="Q127" s="251"/>
      <c r="R127" s="216"/>
      <c r="S127" s="252"/>
      <c r="T127" s="252"/>
      <c r="U127" s="252"/>
      <c r="V127" s="252"/>
      <c r="W127" s="252"/>
      <c r="X127" s="252"/>
      <c r="Y127" s="252"/>
      <c r="Z127" s="252"/>
      <c r="AA127" s="253"/>
      <c r="AB127" s="255"/>
      <c r="AC127" s="256"/>
      <c r="AD127" s="253"/>
      <c r="AE127" s="254"/>
      <c r="AF127" s="254"/>
      <c r="AG127" s="245"/>
      <c r="AH127" s="246"/>
      <c r="AI127" s="71"/>
      <c r="AJ127" s="39"/>
      <c r="AK127" s="71"/>
      <c r="AL127" s="39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4"/>
      <c r="BE127" s="94"/>
      <c r="BF127" s="94"/>
      <c r="BG127" s="94"/>
      <c r="BH127" s="94"/>
      <c r="BI127" s="94"/>
      <c r="BJ127" s="94"/>
      <c r="BK127" s="94"/>
      <c r="BL127" s="94"/>
      <c r="BM127" s="94"/>
    </row>
    <row r="128" spans="1:65" s="101" customFormat="1" x14ac:dyDescent="0.2">
      <c r="A128" s="128"/>
      <c r="B128" s="33" t="str">
        <f t="shared" si="6"/>
        <v>-----</v>
      </c>
      <c r="C128" s="42"/>
      <c r="D128" s="68"/>
      <c r="E128" s="68"/>
      <c r="F128" s="68"/>
      <c r="G128" s="41"/>
      <c r="H128" s="289"/>
      <c r="I128" s="77"/>
      <c r="J128" s="34"/>
      <c r="K128" s="34"/>
      <c r="L128" s="312"/>
      <c r="M128" s="247"/>
      <c r="N128" s="158"/>
      <c r="O128" s="158"/>
      <c r="P128" s="197"/>
      <c r="Q128" s="36"/>
      <c r="R128" s="63"/>
      <c r="S128" s="63"/>
      <c r="T128" s="37"/>
      <c r="U128" s="37"/>
      <c r="V128" s="37"/>
      <c r="W128" s="37"/>
      <c r="X128" s="37"/>
      <c r="Y128" s="37"/>
      <c r="Z128" s="37"/>
      <c r="AA128" s="59"/>
      <c r="AB128" s="80"/>
      <c r="AC128" s="65"/>
      <c r="AD128" s="42"/>
      <c r="AE128" s="42"/>
      <c r="AF128" s="42"/>
      <c r="AG128" s="245"/>
      <c r="AH128" s="246"/>
      <c r="AI128" s="71"/>
      <c r="AJ128" s="39"/>
      <c r="AK128" s="71"/>
      <c r="AL128" s="39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  <c r="BM128" s="94"/>
    </row>
    <row r="129" spans="1:65" s="101" customFormat="1" x14ac:dyDescent="0.2">
      <c r="A129" s="128"/>
      <c r="B129" s="33" t="str">
        <f t="shared" si="6"/>
        <v>-----</v>
      </c>
      <c r="C129" s="42"/>
      <c r="D129" s="68"/>
      <c r="E129" s="68"/>
      <c r="F129" s="68"/>
      <c r="G129" s="41"/>
      <c r="H129" s="289"/>
      <c r="I129" s="220"/>
      <c r="J129" s="34"/>
      <c r="K129" s="34"/>
      <c r="L129" s="312"/>
      <c r="M129" s="247"/>
      <c r="N129" s="158"/>
      <c r="O129" s="158"/>
      <c r="P129" s="197"/>
      <c r="Q129" s="251"/>
      <c r="R129" s="216"/>
      <c r="S129" s="252"/>
      <c r="T129" s="252"/>
      <c r="U129" s="252"/>
      <c r="V129" s="252"/>
      <c r="W129" s="252"/>
      <c r="X129" s="252"/>
      <c r="Y129" s="252"/>
      <c r="Z129" s="252"/>
      <c r="AA129" s="253"/>
      <c r="AB129" s="255"/>
      <c r="AC129" s="256"/>
      <c r="AD129" s="253"/>
      <c r="AE129" s="254"/>
      <c r="AF129" s="254"/>
      <c r="AG129" s="245"/>
      <c r="AH129" s="246"/>
      <c r="AI129" s="71"/>
      <c r="AJ129" s="39"/>
      <c r="AK129" s="71"/>
      <c r="AL129" s="39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  <c r="BM129" s="94"/>
    </row>
    <row r="130" spans="1:65" s="101" customFormat="1" x14ac:dyDescent="0.2">
      <c r="A130" s="128"/>
      <c r="B130" s="33" t="str">
        <f t="shared" si="6"/>
        <v>-----</v>
      </c>
      <c r="C130" s="42"/>
      <c r="D130" s="68"/>
      <c r="E130" s="68"/>
      <c r="F130" s="41"/>
      <c r="G130" s="41"/>
      <c r="H130" s="289"/>
      <c r="I130" s="77"/>
      <c r="J130" s="34"/>
      <c r="K130" s="34"/>
      <c r="L130" s="312"/>
      <c r="M130" s="247"/>
      <c r="N130" s="158"/>
      <c r="O130" s="158"/>
      <c r="P130" s="197"/>
      <c r="Q130" s="36"/>
      <c r="R130" s="63"/>
      <c r="S130" s="63"/>
      <c r="T130" s="37"/>
      <c r="U130" s="37"/>
      <c r="V130" s="37"/>
      <c r="W130" s="37"/>
      <c r="X130" s="37"/>
      <c r="Y130" s="37"/>
      <c r="Z130" s="37"/>
      <c r="AA130" s="59"/>
      <c r="AB130" s="80"/>
      <c r="AC130" s="65"/>
      <c r="AD130" s="42"/>
      <c r="AE130" s="42"/>
      <c r="AF130" s="42"/>
      <c r="AG130" s="245"/>
      <c r="AH130" s="246"/>
      <c r="AI130" s="71"/>
      <c r="AJ130" s="39"/>
      <c r="AK130" s="71"/>
      <c r="AL130" s="39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/>
      <c r="BJ130" s="94"/>
      <c r="BK130" s="94"/>
      <c r="BL130" s="94"/>
      <c r="BM130" s="94"/>
    </row>
    <row r="131" spans="1:65" s="101" customFormat="1" x14ac:dyDescent="0.2">
      <c r="A131" s="128"/>
      <c r="B131" s="33" t="str">
        <f t="shared" si="6"/>
        <v>-----</v>
      </c>
      <c r="C131" s="42"/>
      <c r="D131" s="68"/>
      <c r="E131" s="68"/>
      <c r="F131" s="68"/>
      <c r="G131" s="41"/>
      <c r="H131" s="289"/>
      <c r="I131" s="77"/>
      <c r="J131" s="34"/>
      <c r="K131" s="34"/>
      <c r="L131" s="312"/>
      <c r="M131" s="247"/>
      <c r="N131" s="158"/>
      <c r="O131" s="158"/>
      <c r="P131" s="197"/>
      <c r="Q131" s="251"/>
      <c r="R131" s="216"/>
      <c r="S131" s="252"/>
      <c r="T131" s="252"/>
      <c r="U131" s="252"/>
      <c r="V131" s="252"/>
      <c r="W131" s="252"/>
      <c r="X131" s="252"/>
      <c r="Y131" s="252"/>
      <c r="Z131" s="252"/>
      <c r="AA131" s="253"/>
      <c r="AB131" s="255"/>
      <c r="AC131" s="256"/>
      <c r="AD131" s="253"/>
      <c r="AE131" s="254"/>
      <c r="AF131" s="254"/>
      <c r="AG131" s="245"/>
      <c r="AH131" s="246"/>
      <c r="AI131" s="71"/>
      <c r="AJ131" s="39"/>
      <c r="AK131" s="71"/>
      <c r="AL131" s="39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  <c r="BM131" s="94"/>
    </row>
    <row r="132" spans="1:65" s="101" customFormat="1" x14ac:dyDescent="0.2">
      <c r="A132" s="128"/>
      <c r="B132" s="33" t="str">
        <f t="shared" si="6"/>
        <v>-----</v>
      </c>
      <c r="C132" s="42"/>
      <c r="D132" s="68"/>
      <c r="E132" s="68"/>
      <c r="F132" s="41"/>
      <c r="G132" s="41"/>
      <c r="H132" s="41"/>
      <c r="I132" s="77"/>
      <c r="J132" s="34"/>
      <c r="K132" s="34"/>
      <c r="L132" s="312"/>
      <c r="M132" s="247"/>
      <c r="N132" s="158"/>
      <c r="O132" s="158"/>
      <c r="P132" s="197"/>
      <c r="Q132" s="36"/>
      <c r="R132" s="63"/>
      <c r="S132" s="63"/>
      <c r="T132" s="37"/>
      <c r="U132" s="37"/>
      <c r="V132" s="37"/>
      <c r="W132" s="37"/>
      <c r="X132" s="37"/>
      <c r="Y132" s="37"/>
      <c r="Z132" s="37"/>
      <c r="AA132" s="59"/>
      <c r="AB132" s="255"/>
      <c r="AC132" s="65"/>
      <c r="AD132" s="42"/>
      <c r="AE132" s="42"/>
      <c r="AF132" s="42"/>
      <c r="AG132" s="245"/>
      <c r="AH132" s="246"/>
      <c r="AI132" s="71"/>
      <c r="AJ132" s="39"/>
      <c r="AK132" s="71"/>
      <c r="AL132" s="39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  <c r="BM132" s="94"/>
    </row>
    <row r="133" spans="1:65" s="101" customFormat="1" x14ac:dyDescent="0.2">
      <c r="A133" s="128"/>
      <c r="B133" s="33" t="str">
        <f t="shared" si="6"/>
        <v>-----</v>
      </c>
      <c r="C133" s="42"/>
      <c r="D133" s="68"/>
      <c r="E133" s="68"/>
      <c r="F133" s="41"/>
      <c r="G133" s="41"/>
      <c r="H133" s="41"/>
      <c r="I133" s="77"/>
      <c r="J133" s="34"/>
      <c r="K133" s="34"/>
      <c r="L133" s="312"/>
      <c r="M133" s="247"/>
      <c r="N133" s="158"/>
      <c r="O133" s="158"/>
      <c r="P133" s="197"/>
      <c r="Q133" s="36"/>
      <c r="R133" s="63"/>
      <c r="S133" s="63"/>
      <c r="T133" s="37"/>
      <c r="U133" s="37"/>
      <c r="V133" s="37"/>
      <c r="W133" s="37"/>
      <c r="X133" s="37"/>
      <c r="Y133" s="37"/>
      <c r="Z133" s="37"/>
      <c r="AA133" s="59"/>
      <c r="AB133" s="80"/>
      <c r="AC133" s="65"/>
      <c r="AD133" s="42"/>
      <c r="AE133" s="42"/>
      <c r="AF133" s="42"/>
      <c r="AG133" s="245"/>
      <c r="AH133" s="246"/>
      <c r="AI133" s="71"/>
      <c r="AJ133" s="39"/>
      <c r="AK133" s="71"/>
      <c r="AL133" s="39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  <c r="BM133" s="94"/>
    </row>
    <row r="134" spans="1:65" s="101" customFormat="1" x14ac:dyDescent="0.2">
      <c r="A134" s="128"/>
      <c r="B134" s="33" t="str">
        <f t="shared" si="6"/>
        <v>-----</v>
      </c>
      <c r="C134" s="42"/>
      <c r="D134" s="68"/>
      <c r="E134" s="68"/>
      <c r="F134" s="41"/>
      <c r="G134" s="41"/>
      <c r="H134" s="41"/>
      <c r="I134" s="77"/>
      <c r="J134" s="34"/>
      <c r="K134" s="34"/>
      <c r="L134" s="312"/>
      <c r="M134" s="247"/>
      <c r="N134" s="158"/>
      <c r="O134" s="158"/>
      <c r="P134" s="197"/>
      <c r="Q134" s="251"/>
      <c r="R134" s="216"/>
      <c r="S134" s="252"/>
      <c r="T134" s="252"/>
      <c r="U134" s="252"/>
      <c r="V134" s="252"/>
      <c r="W134" s="252"/>
      <c r="X134" s="252"/>
      <c r="Y134" s="252"/>
      <c r="Z134" s="252"/>
      <c r="AA134" s="253"/>
      <c r="AB134" s="80"/>
      <c r="AC134" s="256"/>
      <c r="AD134" s="253"/>
      <c r="AE134" s="254"/>
      <c r="AF134" s="254"/>
      <c r="AG134" s="245"/>
      <c r="AH134" s="246"/>
      <c r="AI134" s="71"/>
      <c r="AJ134" s="39"/>
      <c r="AK134" s="71"/>
      <c r="AL134" s="39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/>
      <c r="BJ134" s="94"/>
      <c r="BK134" s="94"/>
      <c r="BL134" s="94"/>
      <c r="BM134" s="94"/>
    </row>
    <row r="135" spans="1:65" s="101" customFormat="1" x14ac:dyDescent="0.2">
      <c r="A135" s="128"/>
      <c r="B135" s="33" t="str">
        <f t="shared" si="6"/>
        <v>-----</v>
      </c>
      <c r="C135" s="42"/>
      <c r="D135" s="68"/>
      <c r="E135" s="68"/>
      <c r="F135" s="41"/>
      <c r="G135" s="196"/>
      <c r="H135" s="288"/>
      <c r="I135" s="77"/>
      <c r="J135" s="34"/>
      <c r="K135" s="34"/>
      <c r="L135" s="312"/>
      <c r="M135" s="247"/>
      <c r="N135" s="158"/>
      <c r="O135" s="158"/>
      <c r="P135" s="197"/>
      <c r="Q135" s="36"/>
      <c r="R135" s="63"/>
      <c r="S135" s="63"/>
      <c r="T135" s="37"/>
      <c r="U135" s="37"/>
      <c r="V135" s="37"/>
      <c r="W135" s="37"/>
      <c r="X135" s="37"/>
      <c r="Y135" s="37"/>
      <c r="Z135" s="37"/>
      <c r="AA135" s="59"/>
      <c r="AB135" s="80"/>
      <c r="AC135" s="65"/>
      <c r="AD135" s="42"/>
      <c r="AE135" s="42"/>
      <c r="AF135" s="42"/>
      <c r="AG135" s="245"/>
      <c r="AH135" s="246"/>
      <c r="AI135" s="71"/>
      <c r="AJ135" s="39"/>
      <c r="AK135" s="71"/>
      <c r="AL135" s="39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</row>
    <row r="136" spans="1:65" s="101" customFormat="1" x14ac:dyDescent="0.2">
      <c r="A136" s="128"/>
      <c r="B136" s="33" t="str">
        <f t="shared" ref="B136:B174" si="7">CONCATENATE(C136,"-",D136,"-",$E136,"-",F136,,"-",G136,"-",H136)</f>
        <v>-----</v>
      </c>
      <c r="C136" s="42"/>
      <c r="D136" s="68"/>
      <c r="E136" s="68"/>
      <c r="F136" s="41"/>
      <c r="G136" s="196"/>
      <c r="H136" s="288"/>
      <c r="I136" s="220"/>
      <c r="J136" s="34"/>
      <c r="K136" s="34"/>
      <c r="L136" s="312"/>
      <c r="M136" s="247"/>
      <c r="N136" s="158"/>
      <c r="O136" s="158"/>
      <c r="P136" s="197"/>
      <c r="Q136" s="251"/>
      <c r="R136" s="216"/>
      <c r="S136" s="252"/>
      <c r="T136" s="252"/>
      <c r="U136" s="252"/>
      <c r="V136" s="252"/>
      <c r="W136" s="252"/>
      <c r="X136" s="252"/>
      <c r="Y136" s="252"/>
      <c r="Z136" s="252"/>
      <c r="AA136" s="253"/>
      <c r="AB136" s="255"/>
      <c r="AC136" s="256"/>
      <c r="AD136" s="253"/>
      <c r="AE136" s="254"/>
      <c r="AF136" s="254"/>
      <c r="AG136" s="245"/>
      <c r="AH136" s="246"/>
      <c r="AI136" s="71"/>
      <c r="AJ136" s="39"/>
      <c r="AK136" s="71"/>
      <c r="AL136" s="39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/>
      <c r="BK136" s="94"/>
      <c r="BL136" s="94"/>
      <c r="BM136" s="94"/>
    </row>
    <row r="137" spans="1:65" s="101" customFormat="1" x14ac:dyDescent="0.2">
      <c r="A137" s="128"/>
      <c r="B137" s="33" t="str">
        <f t="shared" si="7"/>
        <v>-----</v>
      </c>
      <c r="C137" s="42"/>
      <c r="D137" s="68"/>
      <c r="E137" s="68"/>
      <c r="F137" s="41"/>
      <c r="G137" s="41"/>
      <c r="H137" s="289"/>
      <c r="I137" s="77"/>
      <c r="J137" s="34"/>
      <c r="K137" s="34"/>
      <c r="L137" s="312"/>
      <c r="M137" s="247"/>
      <c r="N137" s="158"/>
      <c r="O137" s="158"/>
      <c r="P137" s="197"/>
      <c r="Q137" s="36"/>
      <c r="R137" s="63"/>
      <c r="S137" s="63"/>
      <c r="T137" s="37"/>
      <c r="U137" s="37"/>
      <c r="V137" s="37"/>
      <c r="W137" s="37"/>
      <c r="X137" s="37"/>
      <c r="Y137" s="37"/>
      <c r="Z137" s="37"/>
      <c r="AA137" s="59"/>
      <c r="AB137" s="80"/>
      <c r="AC137" s="65"/>
      <c r="AD137" s="42"/>
      <c r="AE137" s="42"/>
      <c r="AF137" s="42"/>
      <c r="AG137" s="245"/>
      <c r="AH137" s="246"/>
      <c r="AI137" s="71"/>
      <c r="AJ137" s="39"/>
      <c r="AK137" s="71"/>
      <c r="AL137" s="39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</row>
    <row r="138" spans="1:65" s="101" customFormat="1" x14ac:dyDescent="0.2">
      <c r="A138" s="128"/>
      <c r="B138" s="33" t="str">
        <f t="shared" si="7"/>
        <v>-----</v>
      </c>
      <c r="C138" s="42"/>
      <c r="D138" s="68"/>
      <c r="E138" s="68"/>
      <c r="F138" s="41"/>
      <c r="G138" s="41"/>
      <c r="H138" s="289"/>
      <c r="I138" s="77"/>
      <c r="J138" s="34"/>
      <c r="K138" s="34"/>
      <c r="L138" s="312"/>
      <c r="M138" s="247"/>
      <c r="N138" s="158"/>
      <c r="O138" s="158"/>
      <c r="P138" s="197"/>
      <c r="Q138" s="251"/>
      <c r="R138" s="216"/>
      <c r="S138" s="252"/>
      <c r="T138" s="252"/>
      <c r="U138" s="252"/>
      <c r="V138" s="252"/>
      <c r="W138" s="252"/>
      <c r="X138" s="252"/>
      <c r="Y138" s="252"/>
      <c r="Z138" s="252"/>
      <c r="AA138" s="253"/>
      <c r="AB138" s="255"/>
      <c r="AC138" s="256"/>
      <c r="AD138" s="253"/>
      <c r="AE138" s="254"/>
      <c r="AF138" s="254"/>
      <c r="AG138" s="245"/>
      <c r="AH138" s="246"/>
      <c r="AI138" s="71"/>
      <c r="AJ138" s="39"/>
      <c r="AK138" s="71"/>
      <c r="AL138" s="39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</row>
    <row r="139" spans="1:65" s="101" customFormat="1" x14ac:dyDescent="0.2">
      <c r="A139" s="128"/>
      <c r="B139" s="33" t="str">
        <f t="shared" si="7"/>
        <v>-----</v>
      </c>
      <c r="C139" s="42"/>
      <c r="D139" s="68"/>
      <c r="E139" s="68"/>
      <c r="F139" s="41"/>
      <c r="G139" s="41"/>
      <c r="H139" s="288"/>
      <c r="I139" s="77"/>
      <c r="J139" s="34"/>
      <c r="K139" s="34"/>
      <c r="L139" s="312"/>
      <c r="M139" s="247"/>
      <c r="N139" s="158"/>
      <c r="O139" s="158"/>
      <c r="P139" s="197"/>
      <c r="Q139" s="36"/>
      <c r="R139" s="63"/>
      <c r="S139" s="63"/>
      <c r="T139" s="37"/>
      <c r="U139" s="37"/>
      <c r="V139" s="37"/>
      <c r="W139" s="37"/>
      <c r="X139" s="37"/>
      <c r="Y139" s="37"/>
      <c r="Z139" s="37"/>
      <c r="AA139" s="59"/>
      <c r="AB139" s="80"/>
      <c r="AC139" s="65"/>
      <c r="AD139" s="42"/>
      <c r="AE139" s="42"/>
      <c r="AF139" s="42"/>
      <c r="AG139" s="245"/>
      <c r="AH139" s="246"/>
      <c r="AI139" s="71"/>
      <c r="AJ139" s="39"/>
      <c r="AK139" s="71"/>
      <c r="AL139" s="39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</row>
    <row r="140" spans="1:65" s="101" customFormat="1" x14ac:dyDescent="0.2">
      <c r="A140" s="128"/>
      <c r="B140" s="33" t="str">
        <f t="shared" si="7"/>
        <v>-----</v>
      </c>
      <c r="C140" s="42"/>
      <c r="D140" s="68"/>
      <c r="E140" s="68"/>
      <c r="F140" s="41"/>
      <c r="G140" s="41"/>
      <c r="H140" s="288"/>
      <c r="I140" s="77"/>
      <c r="J140" s="34"/>
      <c r="K140" s="34"/>
      <c r="L140" s="312"/>
      <c r="M140" s="247"/>
      <c r="N140" s="158"/>
      <c r="O140" s="158"/>
      <c r="P140" s="197"/>
      <c r="Q140" s="251"/>
      <c r="R140" s="216"/>
      <c r="S140" s="252"/>
      <c r="T140" s="252"/>
      <c r="U140" s="252"/>
      <c r="V140" s="252"/>
      <c r="W140" s="252"/>
      <c r="X140" s="252"/>
      <c r="Y140" s="252"/>
      <c r="Z140" s="252"/>
      <c r="AA140" s="253"/>
      <c r="AB140" s="255"/>
      <c r="AC140" s="256"/>
      <c r="AD140" s="253"/>
      <c r="AE140" s="254"/>
      <c r="AF140" s="254"/>
      <c r="AG140" s="245"/>
      <c r="AH140" s="246"/>
      <c r="AI140" s="71"/>
      <c r="AJ140" s="39"/>
      <c r="AK140" s="71"/>
      <c r="AL140" s="39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94"/>
    </row>
    <row r="141" spans="1:65" s="101" customFormat="1" x14ac:dyDescent="0.2">
      <c r="A141" s="128"/>
      <c r="B141" s="33" t="str">
        <f t="shared" si="7"/>
        <v>-----</v>
      </c>
      <c r="C141" s="42"/>
      <c r="D141" s="68"/>
      <c r="E141" s="68"/>
      <c r="F141" s="41"/>
      <c r="G141" s="196"/>
      <c r="H141" s="289"/>
      <c r="I141" s="77"/>
      <c r="J141" s="34"/>
      <c r="K141" s="34"/>
      <c r="L141" s="312"/>
      <c r="M141" s="247"/>
      <c r="N141" s="158"/>
      <c r="O141" s="158"/>
      <c r="P141" s="197"/>
      <c r="Q141" s="36"/>
      <c r="R141" s="63"/>
      <c r="S141" s="63"/>
      <c r="T141" s="37"/>
      <c r="U141" s="37"/>
      <c r="V141" s="37"/>
      <c r="W141" s="37"/>
      <c r="X141" s="37"/>
      <c r="Y141" s="37"/>
      <c r="Z141" s="37"/>
      <c r="AA141" s="59"/>
      <c r="AB141" s="80"/>
      <c r="AC141" s="65"/>
      <c r="AD141" s="42"/>
      <c r="AE141" s="42"/>
      <c r="AF141" s="42"/>
      <c r="AG141" s="245"/>
      <c r="AH141" s="246"/>
      <c r="AI141" s="71"/>
      <c r="AJ141" s="39"/>
      <c r="AK141" s="71"/>
      <c r="AL141" s="39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94"/>
    </row>
    <row r="142" spans="1:65" s="101" customFormat="1" x14ac:dyDescent="0.2">
      <c r="A142" s="128"/>
      <c r="B142" s="33" t="str">
        <f t="shared" si="7"/>
        <v>-----</v>
      </c>
      <c r="C142" s="42"/>
      <c r="D142" s="68"/>
      <c r="E142" s="68"/>
      <c r="F142" s="41"/>
      <c r="G142" s="196"/>
      <c r="H142" s="289"/>
      <c r="I142" s="77"/>
      <c r="J142" s="34"/>
      <c r="K142" s="34"/>
      <c r="L142" s="312"/>
      <c r="M142" s="247"/>
      <c r="N142" s="158"/>
      <c r="O142" s="158"/>
      <c r="P142" s="197"/>
      <c r="Q142" s="251"/>
      <c r="R142" s="216"/>
      <c r="S142" s="252"/>
      <c r="T142" s="252"/>
      <c r="U142" s="252"/>
      <c r="V142" s="252"/>
      <c r="W142" s="252"/>
      <c r="X142" s="252"/>
      <c r="Y142" s="252"/>
      <c r="Z142" s="252"/>
      <c r="AA142" s="253"/>
      <c r="AB142" s="255"/>
      <c r="AC142" s="256"/>
      <c r="AD142" s="253"/>
      <c r="AE142" s="254"/>
      <c r="AF142" s="254"/>
      <c r="AG142" s="245"/>
      <c r="AH142" s="246"/>
      <c r="AI142" s="71"/>
      <c r="AJ142" s="39"/>
      <c r="AK142" s="71"/>
      <c r="AL142" s="39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  <c r="BM142" s="94"/>
    </row>
    <row r="143" spans="1:65" s="101" customFormat="1" x14ac:dyDescent="0.2">
      <c r="A143" s="128"/>
      <c r="B143" s="33" t="str">
        <f t="shared" si="7"/>
        <v>-----</v>
      </c>
      <c r="C143" s="42"/>
      <c r="D143" s="68"/>
      <c r="E143" s="68"/>
      <c r="F143" s="41"/>
      <c r="G143" s="196"/>
      <c r="H143" s="288"/>
      <c r="I143" s="77"/>
      <c r="J143" s="34"/>
      <c r="K143" s="34"/>
      <c r="L143" s="312"/>
      <c r="M143" s="247"/>
      <c r="N143" s="158"/>
      <c r="O143" s="158"/>
      <c r="P143" s="197"/>
      <c r="Q143" s="36"/>
      <c r="R143" s="63"/>
      <c r="S143" s="63"/>
      <c r="T143" s="37"/>
      <c r="U143" s="37"/>
      <c r="V143" s="37"/>
      <c r="W143" s="37"/>
      <c r="X143" s="37"/>
      <c r="Y143" s="37"/>
      <c r="Z143" s="37"/>
      <c r="AA143" s="59"/>
      <c r="AB143" s="80"/>
      <c r="AC143" s="65"/>
      <c r="AD143" s="42"/>
      <c r="AE143" s="42"/>
      <c r="AF143" s="42"/>
      <c r="AG143" s="245"/>
      <c r="AH143" s="246"/>
      <c r="AI143" s="71"/>
      <c r="AJ143" s="39"/>
      <c r="AK143" s="71"/>
      <c r="AL143" s="39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94"/>
    </row>
    <row r="144" spans="1:65" s="101" customFormat="1" x14ac:dyDescent="0.2">
      <c r="A144" s="128"/>
      <c r="B144" s="33" t="str">
        <f t="shared" si="7"/>
        <v>-----</v>
      </c>
      <c r="C144" s="42"/>
      <c r="D144" s="68"/>
      <c r="E144" s="68"/>
      <c r="F144" s="41"/>
      <c r="G144" s="196"/>
      <c r="H144" s="288"/>
      <c r="I144" s="77"/>
      <c r="J144" s="34"/>
      <c r="K144" s="34"/>
      <c r="L144" s="312"/>
      <c r="M144" s="247"/>
      <c r="N144" s="158"/>
      <c r="O144" s="158"/>
      <c r="P144" s="197"/>
      <c r="Q144" s="251"/>
      <c r="R144" s="216"/>
      <c r="S144" s="252"/>
      <c r="T144" s="252"/>
      <c r="U144" s="252"/>
      <c r="V144" s="252"/>
      <c r="W144" s="252"/>
      <c r="X144" s="252"/>
      <c r="Y144" s="252"/>
      <c r="Z144" s="252"/>
      <c r="AA144" s="253"/>
      <c r="AB144" s="255"/>
      <c r="AC144" s="256"/>
      <c r="AD144" s="253"/>
      <c r="AE144" s="254"/>
      <c r="AF144" s="254"/>
      <c r="AG144" s="245"/>
      <c r="AH144" s="246"/>
      <c r="AI144" s="71"/>
      <c r="AJ144" s="39"/>
      <c r="AK144" s="71"/>
      <c r="AL144" s="39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  <c r="BM144" s="94"/>
    </row>
    <row r="145" spans="1:65" s="101" customFormat="1" x14ac:dyDescent="0.2">
      <c r="A145" s="128"/>
      <c r="B145" s="33" t="str">
        <f t="shared" si="7"/>
        <v>-----</v>
      </c>
      <c r="C145" s="42"/>
      <c r="D145" s="68"/>
      <c r="E145" s="68"/>
      <c r="F145" s="41"/>
      <c r="G145" s="196"/>
      <c r="H145" s="196"/>
      <c r="I145" s="77"/>
      <c r="J145" s="34"/>
      <c r="K145" s="34"/>
      <c r="L145" s="312"/>
      <c r="M145" s="247"/>
      <c r="N145" s="158"/>
      <c r="O145" s="158"/>
      <c r="P145" s="197"/>
      <c r="Q145" s="36"/>
      <c r="R145" s="63"/>
      <c r="S145" s="63"/>
      <c r="T145" s="37"/>
      <c r="U145" s="37"/>
      <c r="V145" s="37"/>
      <c r="W145" s="37"/>
      <c r="X145" s="37"/>
      <c r="Y145" s="37"/>
      <c r="Z145" s="37"/>
      <c r="AA145" s="59"/>
      <c r="AB145" s="80"/>
      <c r="AC145" s="65"/>
      <c r="AD145" s="42"/>
      <c r="AE145" s="42"/>
      <c r="AF145" s="42"/>
      <c r="AG145" s="245"/>
      <c r="AH145" s="246"/>
      <c r="AI145" s="71"/>
      <c r="AJ145" s="39"/>
      <c r="AK145" s="71"/>
      <c r="AL145" s="39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</row>
    <row r="146" spans="1:65" s="101" customFormat="1" x14ac:dyDescent="0.2">
      <c r="A146" s="128"/>
      <c r="B146" s="33" t="str">
        <f t="shared" si="7"/>
        <v>-----</v>
      </c>
      <c r="C146" s="42"/>
      <c r="D146" s="68"/>
      <c r="E146" s="68"/>
      <c r="F146" s="41"/>
      <c r="G146" s="196"/>
      <c r="H146" s="288"/>
      <c r="I146" s="77"/>
      <c r="J146" s="34"/>
      <c r="K146" s="34"/>
      <c r="L146" s="312"/>
      <c r="M146" s="247"/>
      <c r="N146" s="158"/>
      <c r="O146" s="158"/>
      <c r="P146" s="197"/>
      <c r="Q146" s="36"/>
      <c r="R146" s="63"/>
      <c r="S146" s="63"/>
      <c r="T146" s="37"/>
      <c r="U146" s="37"/>
      <c r="V146" s="37"/>
      <c r="W146" s="37"/>
      <c r="X146" s="37"/>
      <c r="Y146" s="37"/>
      <c r="Z146" s="37"/>
      <c r="AA146" s="59"/>
      <c r="AB146" s="80"/>
      <c r="AC146" s="65"/>
      <c r="AD146" s="42"/>
      <c r="AE146" s="42"/>
      <c r="AF146" s="42"/>
      <c r="AG146" s="245"/>
      <c r="AH146" s="246"/>
      <c r="AI146" s="71"/>
      <c r="AJ146" s="39"/>
      <c r="AK146" s="71"/>
      <c r="AL146" s="39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  <c r="BM146" s="94"/>
    </row>
    <row r="147" spans="1:65" s="101" customFormat="1" x14ac:dyDescent="0.2">
      <c r="A147" s="128"/>
      <c r="B147" s="33" t="str">
        <f t="shared" si="7"/>
        <v>-----</v>
      </c>
      <c r="C147" s="42"/>
      <c r="D147" s="68"/>
      <c r="E147" s="68"/>
      <c r="F147" s="41"/>
      <c r="G147" s="196"/>
      <c r="H147" s="288"/>
      <c r="I147" s="77"/>
      <c r="J147" s="34"/>
      <c r="K147" s="34"/>
      <c r="L147" s="312"/>
      <c r="M147" s="247"/>
      <c r="N147" s="158"/>
      <c r="O147" s="158"/>
      <c r="P147" s="197"/>
      <c r="Q147" s="251"/>
      <c r="R147" s="216"/>
      <c r="S147" s="252"/>
      <c r="T147" s="252"/>
      <c r="U147" s="252"/>
      <c r="V147" s="252"/>
      <c r="W147" s="252"/>
      <c r="X147" s="252"/>
      <c r="Y147" s="252"/>
      <c r="Z147" s="252"/>
      <c r="AA147" s="253"/>
      <c r="AB147" s="255"/>
      <c r="AC147" s="256"/>
      <c r="AD147" s="253"/>
      <c r="AE147" s="254"/>
      <c r="AF147" s="254"/>
      <c r="AG147" s="245"/>
      <c r="AH147" s="246"/>
      <c r="AI147" s="71"/>
      <c r="AJ147" s="39"/>
      <c r="AK147" s="71"/>
      <c r="AL147" s="39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4"/>
      <c r="BI147" s="94"/>
      <c r="BJ147" s="94"/>
      <c r="BK147" s="94"/>
      <c r="BL147" s="94"/>
      <c r="BM147" s="94"/>
    </row>
    <row r="148" spans="1:65" s="101" customFormat="1" x14ac:dyDescent="0.2">
      <c r="A148" s="128"/>
      <c r="B148" s="33" t="str">
        <f t="shared" si="7"/>
        <v>-----</v>
      </c>
      <c r="C148" s="42"/>
      <c r="D148" s="68"/>
      <c r="E148" s="68"/>
      <c r="F148" s="41"/>
      <c r="G148" s="41"/>
      <c r="H148" s="289"/>
      <c r="I148" s="77"/>
      <c r="J148" s="34"/>
      <c r="K148" s="34"/>
      <c r="L148" s="312"/>
      <c r="M148" s="247"/>
      <c r="N148" s="158"/>
      <c r="O148" s="158"/>
      <c r="P148" s="197"/>
      <c r="Q148" s="36"/>
      <c r="R148" s="63"/>
      <c r="S148" s="63"/>
      <c r="T148" s="37"/>
      <c r="U148" s="37"/>
      <c r="V148" s="37"/>
      <c r="W148" s="37"/>
      <c r="X148" s="37"/>
      <c r="Y148" s="37"/>
      <c r="Z148" s="37"/>
      <c r="AA148" s="59"/>
      <c r="AB148" s="80"/>
      <c r="AC148" s="65"/>
      <c r="AD148" s="42"/>
      <c r="AE148" s="42"/>
      <c r="AF148" s="42"/>
      <c r="AG148" s="245"/>
      <c r="AH148" s="246"/>
      <c r="AI148" s="71"/>
      <c r="AJ148" s="39"/>
      <c r="AK148" s="71"/>
      <c r="AL148" s="39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  <c r="BM148" s="94"/>
    </row>
    <row r="149" spans="1:65" s="101" customFormat="1" x14ac:dyDescent="0.2">
      <c r="A149" s="128"/>
      <c r="B149" s="33" t="str">
        <f t="shared" si="7"/>
        <v>-----</v>
      </c>
      <c r="C149" s="42"/>
      <c r="D149" s="68"/>
      <c r="E149" s="68"/>
      <c r="F149" s="41"/>
      <c r="G149" s="41"/>
      <c r="H149" s="289"/>
      <c r="I149" s="77"/>
      <c r="J149" s="34"/>
      <c r="K149" s="34"/>
      <c r="L149" s="312"/>
      <c r="M149" s="247"/>
      <c r="N149" s="158"/>
      <c r="O149" s="158"/>
      <c r="P149" s="197"/>
      <c r="Q149" s="251"/>
      <c r="R149" s="216"/>
      <c r="S149" s="252"/>
      <c r="T149" s="252"/>
      <c r="U149" s="252"/>
      <c r="V149" s="252"/>
      <c r="W149" s="252"/>
      <c r="X149" s="252"/>
      <c r="Y149" s="252"/>
      <c r="Z149" s="252"/>
      <c r="AA149" s="253"/>
      <c r="AB149" s="255"/>
      <c r="AC149" s="256"/>
      <c r="AD149" s="253"/>
      <c r="AE149" s="254"/>
      <c r="AF149" s="254"/>
      <c r="AG149" s="245"/>
      <c r="AH149" s="246"/>
      <c r="AI149" s="71"/>
      <c r="AJ149" s="39"/>
      <c r="AK149" s="71"/>
      <c r="AL149" s="39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  <c r="BM149" s="94"/>
    </row>
    <row r="150" spans="1:65" s="101" customFormat="1" x14ac:dyDescent="0.2">
      <c r="A150" s="128"/>
      <c r="B150" s="33" t="str">
        <f t="shared" si="7"/>
        <v>-----</v>
      </c>
      <c r="C150" s="42"/>
      <c r="D150" s="68"/>
      <c r="E150" s="68"/>
      <c r="F150" s="41"/>
      <c r="G150" s="41"/>
      <c r="H150" s="288"/>
      <c r="I150" s="77"/>
      <c r="J150" s="34"/>
      <c r="K150" s="34"/>
      <c r="L150" s="312"/>
      <c r="M150" s="247"/>
      <c r="N150" s="158"/>
      <c r="O150" s="158"/>
      <c r="P150" s="197"/>
      <c r="Q150" s="36"/>
      <c r="R150" s="63"/>
      <c r="S150" s="63"/>
      <c r="T150" s="37"/>
      <c r="U150" s="37"/>
      <c r="V150" s="37"/>
      <c r="W150" s="37"/>
      <c r="X150" s="37"/>
      <c r="Y150" s="37"/>
      <c r="Z150" s="37"/>
      <c r="AA150" s="59"/>
      <c r="AB150" s="80"/>
      <c r="AC150" s="65"/>
      <c r="AD150" s="42"/>
      <c r="AE150" s="42"/>
      <c r="AF150" s="42"/>
      <c r="AG150" s="245"/>
      <c r="AH150" s="246"/>
      <c r="AI150" s="71"/>
      <c r="AJ150" s="39"/>
      <c r="AK150" s="71"/>
      <c r="AL150" s="39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4"/>
      <c r="BI150" s="94"/>
      <c r="BJ150" s="94"/>
      <c r="BK150" s="94"/>
      <c r="BL150" s="94"/>
      <c r="BM150" s="94"/>
    </row>
    <row r="151" spans="1:65" s="101" customFormat="1" x14ac:dyDescent="0.2">
      <c r="A151" s="128"/>
      <c r="B151" s="33" t="str">
        <f t="shared" si="7"/>
        <v>-----</v>
      </c>
      <c r="C151" s="42"/>
      <c r="D151" s="68"/>
      <c r="E151" s="68"/>
      <c r="F151" s="41"/>
      <c r="G151" s="41"/>
      <c r="H151" s="288"/>
      <c r="I151" s="77"/>
      <c r="J151" s="34"/>
      <c r="K151" s="34"/>
      <c r="L151" s="312"/>
      <c r="M151" s="247"/>
      <c r="N151" s="158"/>
      <c r="O151" s="158"/>
      <c r="P151" s="197"/>
      <c r="Q151" s="251"/>
      <c r="R151" s="216"/>
      <c r="S151" s="252"/>
      <c r="T151" s="252"/>
      <c r="U151" s="252"/>
      <c r="V151" s="252"/>
      <c r="W151" s="252"/>
      <c r="X151" s="252"/>
      <c r="Y151" s="252"/>
      <c r="Z151" s="252"/>
      <c r="AA151" s="253"/>
      <c r="AB151" s="255"/>
      <c r="AC151" s="256"/>
      <c r="AD151" s="253"/>
      <c r="AE151" s="254"/>
      <c r="AF151" s="254"/>
      <c r="AG151" s="245"/>
      <c r="AH151" s="246"/>
      <c r="AI151" s="71"/>
      <c r="AJ151" s="39"/>
      <c r="AK151" s="71"/>
      <c r="AL151" s="39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4"/>
      <c r="BI151" s="94"/>
      <c r="BJ151" s="94"/>
      <c r="BK151" s="94"/>
      <c r="BL151" s="94"/>
      <c r="BM151" s="94"/>
    </row>
    <row r="152" spans="1:65" s="101" customFormat="1" x14ac:dyDescent="0.2">
      <c r="A152" s="128"/>
      <c r="B152" s="33" t="str">
        <f t="shared" si="7"/>
        <v>-----</v>
      </c>
      <c r="C152" s="42"/>
      <c r="D152" s="68"/>
      <c r="E152" s="68"/>
      <c r="F152" s="41"/>
      <c r="G152" s="41"/>
      <c r="H152" s="289"/>
      <c r="I152" s="77"/>
      <c r="J152" s="34"/>
      <c r="K152" s="34"/>
      <c r="L152" s="312"/>
      <c r="M152" s="247"/>
      <c r="N152" s="158"/>
      <c r="O152" s="158"/>
      <c r="P152" s="197"/>
      <c r="Q152" s="36"/>
      <c r="R152" s="63"/>
      <c r="S152" s="63"/>
      <c r="T152" s="37"/>
      <c r="U152" s="37"/>
      <c r="V152" s="37"/>
      <c r="W152" s="37"/>
      <c r="X152" s="37"/>
      <c r="Y152" s="37"/>
      <c r="Z152" s="37"/>
      <c r="AA152" s="59"/>
      <c r="AB152" s="80"/>
      <c r="AC152" s="65"/>
      <c r="AD152" s="42"/>
      <c r="AE152" s="42"/>
      <c r="AF152" s="42"/>
      <c r="AG152" s="245"/>
      <c r="AH152" s="246"/>
      <c r="AI152" s="71"/>
      <c r="AJ152" s="39"/>
      <c r="AK152" s="71"/>
      <c r="AL152" s="39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  <c r="BM152" s="94"/>
    </row>
    <row r="153" spans="1:65" s="101" customFormat="1" x14ac:dyDescent="0.2">
      <c r="A153" s="128"/>
      <c r="B153" s="33" t="str">
        <f t="shared" si="7"/>
        <v>-----</v>
      </c>
      <c r="C153" s="42"/>
      <c r="D153" s="68"/>
      <c r="E153" s="68"/>
      <c r="F153" s="41"/>
      <c r="G153" s="41"/>
      <c r="H153" s="289"/>
      <c r="I153" s="77"/>
      <c r="J153" s="34"/>
      <c r="K153" s="34"/>
      <c r="L153" s="312"/>
      <c r="M153" s="247"/>
      <c r="N153" s="158"/>
      <c r="O153" s="158"/>
      <c r="P153" s="197"/>
      <c r="Q153" s="251"/>
      <c r="R153" s="216"/>
      <c r="S153" s="252"/>
      <c r="T153" s="252"/>
      <c r="U153" s="252"/>
      <c r="V153" s="252"/>
      <c r="W153" s="252"/>
      <c r="X153" s="252"/>
      <c r="Y153" s="252"/>
      <c r="Z153" s="252"/>
      <c r="AA153" s="253"/>
      <c r="AB153" s="255"/>
      <c r="AC153" s="256"/>
      <c r="AD153" s="253"/>
      <c r="AE153" s="254"/>
      <c r="AF153" s="254"/>
      <c r="AG153" s="245"/>
      <c r="AH153" s="246"/>
      <c r="AI153" s="71"/>
      <c r="AJ153" s="39"/>
      <c r="AK153" s="71"/>
      <c r="AL153" s="39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4"/>
      <c r="BI153" s="94"/>
      <c r="BJ153" s="94"/>
      <c r="BK153" s="94"/>
      <c r="BL153" s="94"/>
      <c r="BM153" s="94"/>
    </row>
    <row r="154" spans="1:65" s="101" customFormat="1" x14ac:dyDescent="0.2">
      <c r="A154" s="128"/>
      <c r="B154" s="33" t="str">
        <f t="shared" si="7"/>
        <v>-----</v>
      </c>
      <c r="C154" s="42"/>
      <c r="D154" s="68"/>
      <c r="E154" s="68"/>
      <c r="F154" s="41"/>
      <c r="G154" s="41"/>
      <c r="H154" s="288"/>
      <c r="I154" s="77"/>
      <c r="J154" s="34"/>
      <c r="K154" s="34"/>
      <c r="L154" s="312"/>
      <c r="M154" s="247"/>
      <c r="N154" s="158"/>
      <c r="O154" s="158"/>
      <c r="P154" s="197"/>
      <c r="Q154" s="36"/>
      <c r="R154" s="63"/>
      <c r="S154" s="63"/>
      <c r="T154" s="37"/>
      <c r="U154" s="37"/>
      <c r="V154" s="37"/>
      <c r="W154" s="37"/>
      <c r="X154" s="37"/>
      <c r="Y154" s="37"/>
      <c r="Z154" s="37"/>
      <c r="AA154" s="59"/>
      <c r="AB154" s="80"/>
      <c r="AC154" s="65"/>
      <c r="AD154" s="42"/>
      <c r="AE154" s="42"/>
      <c r="AF154" s="42"/>
      <c r="AG154" s="245"/>
      <c r="AH154" s="246"/>
      <c r="AI154" s="71"/>
      <c r="AJ154" s="39"/>
      <c r="AK154" s="71"/>
      <c r="AL154" s="39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  <c r="BG154" s="94"/>
      <c r="BH154" s="94"/>
      <c r="BI154" s="94"/>
      <c r="BJ154" s="94"/>
      <c r="BK154" s="94"/>
      <c r="BL154" s="94"/>
      <c r="BM154" s="94"/>
    </row>
    <row r="155" spans="1:65" s="101" customFormat="1" x14ac:dyDescent="0.2">
      <c r="A155" s="128"/>
      <c r="B155" s="33" t="str">
        <f t="shared" si="7"/>
        <v>-----</v>
      </c>
      <c r="C155" s="42"/>
      <c r="D155" s="68"/>
      <c r="E155" s="68"/>
      <c r="F155" s="41"/>
      <c r="G155" s="41"/>
      <c r="H155" s="288"/>
      <c r="I155" s="77"/>
      <c r="J155" s="34"/>
      <c r="K155" s="34"/>
      <c r="L155" s="312"/>
      <c r="M155" s="247"/>
      <c r="N155" s="158"/>
      <c r="O155" s="158"/>
      <c r="P155" s="197"/>
      <c r="Q155" s="251"/>
      <c r="R155" s="216"/>
      <c r="S155" s="252"/>
      <c r="T155" s="252"/>
      <c r="U155" s="252"/>
      <c r="V155" s="252"/>
      <c r="W155" s="252"/>
      <c r="X155" s="252"/>
      <c r="Y155" s="252"/>
      <c r="Z155" s="252"/>
      <c r="AA155" s="253"/>
      <c r="AB155" s="255"/>
      <c r="AC155" s="256"/>
      <c r="AD155" s="253"/>
      <c r="AE155" s="254"/>
      <c r="AF155" s="254"/>
      <c r="AG155" s="245"/>
      <c r="AH155" s="246"/>
      <c r="AI155" s="71"/>
      <c r="AJ155" s="39"/>
      <c r="AK155" s="71"/>
      <c r="AL155" s="39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4"/>
      <c r="BI155" s="94"/>
      <c r="BJ155" s="94"/>
      <c r="BK155" s="94"/>
      <c r="BL155" s="94"/>
      <c r="BM155" s="94"/>
    </row>
    <row r="156" spans="1:65" s="101" customFormat="1" x14ac:dyDescent="0.2">
      <c r="A156" s="128"/>
      <c r="B156" s="33" t="str">
        <f t="shared" si="7"/>
        <v>-----</v>
      </c>
      <c r="C156" s="42"/>
      <c r="D156" s="68"/>
      <c r="E156" s="68"/>
      <c r="F156" s="41"/>
      <c r="G156" s="196"/>
      <c r="H156" s="289"/>
      <c r="I156" s="77"/>
      <c r="J156" s="34"/>
      <c r="K156" s="34"/>
      <c r="L156" s="312"/>
      <c r="M156" s="247"/>
      <c r="N156" s="158"/>
      <c r="O156" s="158"/>
      <c r="P156" s="197"/>
      <c r="Q156" s="36"/>
      <c r="R156" s="63"/>
      <c r="S156" s="63"/>
      <c r="T156" s="37"/>
      <c r="U156" s="37"/>
      <c r="V156" s="37"/>
      <c r="W156" s="37"/>
      <c r="X156" s="37"/>
      <c r="Y156" s="37"/>
      <c r="Z156" s="37"/>
      <c r="AA156" s="59"/>
      <c r="AB156" s="80"/>
      <c r="AC156" s="65"/>
      <c r="AD156" s="42"/>
      <c r="AE156" s="42"/>
      <c r="AF156" s="42"/>
      <c r="AG156" s="245"/>
      <c r="AH156" s="246"/>
      <c r="AI156" s="71"/>
      <c r="AJ156" s="39"/>
      <c r="AK156" s="71"/>
      <c r="AL156" s="39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  <c r="BG156" s="94"/>
      <c r="BH156" s="94"/>
      <c r="BI156" s="94"/>
      <c r="BJ156" s="94"/>
      <c r="BK156" s="94"/>
      <c r="BL156" s="94"/>
      <c r="BM156" s="94"/>
    </row>
    <row r="157" spans="1:65" s="101" customFormat="1" x14ac:dyDescent="0.2">
      <c r="A157" s="128"/>
      <c r="B157" s="33" t="str">
        <f t="shared" si="7"/>
        <v>-----</v>
      </c>
      <c r="C157" s="42"/>
      <c r="D157" s="68"/>
      <c r="E157" s="68"/>
      <c r="F157" s="41"/>
      <c r="G157" s="196"/>
      <c r="H157" s="289"/>
      <c r="I157" s="77"/>
      <c r="J157" s="34"/>
      <c r="K157" s="34"/>
      <c r="L157" s="312"/>
      <c r="M157" s="247"/>
      <c r="N157" s="158"/>
      <c r="O157" s="158"/>
      <c r="P157" s="197"/>
      <c r="Q157" s="251"/>
      <c r="R157" s="216"/>
      <c r="S157" s="252"/>
      <c r="T157" s="252"/>
      <c r="U157" s="252"/>
      <c r="V157" s="252"/>
      <c r="W157" s="252"/>
      <c r="X157" s="252"/>
      <c r="Y157" s="252"/>
      <c r="Z157" s="252"/>
      <c r="AA157" s="253"/>
      <c r="AB157" s="255"/>
      <c r="AC157" s="256"/>
      <c r="AD157" s="253"/>
      <c r="AE157" s="254"/>
      <c r="AF157" s="254"/>
      <c r="AG157" s="245"/>
      <c r="AH157" s="246"/>
      <c r="AI157" s="71"/>
      <c r="AJ157" s="39"/>
      <c r="AK157" s="71"/>
      <c r="AL157" s="39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  <c r="BG157" s="94"/>
      <c r="BH157" s="94"/>
      <c r="BI157" s="94"/>
      <c r="BJ157" s="94"/>
      <c r="BK157" s="94"/>
      <c r="BL157" s="94"/>
      <c r="BM157" s="94"/>
    </row>
    <row r="158" spans="1:65" s="101" customFormat="1" x14ac:dyDescent="0.2">
      <c r="A158" s="128"/>
      <c r="B158" s="33" t="str">
        <f t="shared" si="7"/>
        <v>-----</v>
      </c>
      <c r="C158" s="42"/>
      <c r="D158" s="68"/>
      <c r="E158" s="68"/>
      <c r="F158" s="41"/>
      <c r="G158" s="196"/>
      <c r="H158" s="289"/>
      <c r="I158" s="77"/>
      <c r="J158" s="34"/>
      <c r="K158" s="34"/>
      <c r="L158" s="312"/>
      <c r="M158" s="247"/>
      <c r="N158" s="158"/>
      <c r="O158" s="158"/>
      <c r="P158" s="197"/>
      <c r="Q158" s="36"/>
      <c r="R158" s="63"/>
      <c r="S158" s="63"/>
      <c r="T158" s="37"/>
      <c r="U158" s="37"/>
      <c r="V158" s="37"/>
      <c r="W158" s="37"/>
      <c r="X158" s="37"/>
      <c r="Y158" s="37"/>
      <c r="Z158" s="37"/>
      <c r="AA158" s="59"/>
      <c r="AB158" s="80"/>
      <c r="AC158" s="65"/>
      <c r="AD158" s="42"/>
      <c r="AE158" s="42"/>
      <c r="AF158" s="42"/>
      <c r="AG158" s="245"/>
      <c r="AH158" s="246"/>
      <c r="AI158" s="71"/>
      <c r="AJ158" s="39"/>
      <c r="AK158" s="71"/>
      <c r="AL158" s="39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4"/>
      <c r="BI158" s="94"/>
      <c r="BJ158" s="94"/>
      <c r="BK158" s="94"/>
      <c r="BL158" s="94"/>
      <c r="BM158" s="94"/>
    </row>
    <row r="159" spans="1:65" s="101" customFormat="1" x14ac:dyDescent="0.2">
      <c r="A159" s="128"/>
      <c r="B159" s="33" t="str">
        <f t="shared" si="7"/>
        <v>-----</v>
      </c>
      <c r="C159" s="42"/>
      <c r="D159" s="68"/>
      <c r="E159" s="68"/>
      <c r="F159" s="41"/>
      <c r="G159" s="196"/>
      <c r="H159" s="289"/>
      <c r="I159" s="77"/>
      <c r="J159" s="34"/>
      <c r="K159" s="34"/>
      <c r="L159" s="312"/>
      <c r="M159" s="247"/>
      <c r="N159" s="158"/>
      <c r="O159" s="158"/>
      <c r="P159" s="197"/>
      <c r="Q159" s="251"/>
      <c r="R159" s="216"/>
      <c r="S159" s="252"/>
      <c r="T159" s="252"/>
      <c r="U159" s="252"/>
      <c r="V159" s="252"/>
      <c r="W159" s="252"/>
      <c r="X159" s="252"/>
      <c r="Y159" s="252"/>
      <c r="Z159" s="252"/>
      <c r="AA159" s="253"/>
      <c r="AB159" s="255"/>
      <c r="AC159" s="256"/>
      <c r="AD159" s="253"/>
      <c r="AE159" s="254"/>
      <c r="AF159" s="254"/>
      <c r="AG159" s="245"/>
      <c r="AH159" s="246"/>
      <c r="AI159" s="71"/>
      <c r="AJ159" s="39"/>
      <c r="AK159" s="71"/>
      <c r="AL159" s="39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4"/>
      <c r="BE159" s="94"/>
      <c r="BF159" s="94"/>
      <c r="BG159" s="94"/>
      <c r="BH159" s="94"/>
      <c r="BI159" s="94"/>
      <c r="BJ159" s="94"/>
      <c r="BK159" s="94"/>
      <c r="BL159" s="94"/>
      <c r="BM159" s="94"/>
    </row>
    <row r="160" spans="1:65" s="101" customFormat="1" x14ac:dyDescent="0.2">
      <c r="A160" s="128"/>
      <c r="B160" s="33" t="str">
        <f t="shared" si="7"/>
        <v>-----</v>
      </c>
      <c r="C160" s="42"/>
      <c r="D160" s="68"/>
      <c r="E160" s="68"/>
      <c r="F160" s="41"/>
      <c r="G160" s="41"/>
      <c r="H160" s="196"/>
      <c r="I160" s="77"/>
      <c r="J160" s="34"/>
      <c r="K160" s="34"/>
      <c r="L160" s="35"/>
      <c r="M160" s="247"/>
      <c r="N160" s="158"/>
      <c r="O160" s="158"/>
      <c r="P160" s="197"/>
      <c r="Q160" s="36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91"/>
      <c r="AC160" s="40"/>
      <c r="AD160" s="42"/>
      <c r="AE160" s="37"/>
      <c r="AF160" s="37"/>
      <c r="AG160" s="245"/>
      <c r="AH160" s="246"/>
      <c r="AI160" s="71"/>
      <c r="AJ160" s="39"/>
      <c r="AK160" s="71"/>
      <c r="AL160" s="39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4"/>
      <c r="BE160" s="94"/>
      <c r="BF160" s="94"/>
      <c r="BG160" s="94"/>
      <c r="BH160" s="94"/>
      <c r="BI160" s="94"/>
      <c r="BJ160" s="94"/>
      <c r="BK160" s="94"/>
      <c r="BL160" s="94"/>
      <c r="BM160" s="94"/>
    </row>
    <row r="161" spans="1:65" s="101" customFormat="1" x14ac:dyDescent="0.2">
      <c r="A161" s="128"/>
      <c r="B161" s="33" t="str">
        <f t="shared" si="7"/>
        <v>-----</v>
      </c>
      <c r="C161" s="42"/>
      <c r="D161" s="68"/>
      <c r="E161" s="68"/>
      <c r="F161" s="41"/>
      <c r="G161" s="41"/>
      <c r="H161" s="288"/>
      <c r="I161" s="77"/>
      <c r="J161" s="34"/>
      <c r="K161" s="34"/>
      <c r="L161" s="312"/>
      <c r="M161" s="247"/>
      <c r="N161" s="158"/>
      <c r="O161" s="158"/>
      <c r="P161" s="197"/>
      <c r="Q161" s="36"/>
      <c r="R161" s="63"/>
      <c r="S161" s="63"/>
      <c r="T161" s="37"/>
      <c r="U161" s="37"/>
      <c r="V161" s="37"/>
      <c r="W161" s="37"/>
      <c r="X161" s="37"/>
      <c r="Y161" s="37"/>
      <c r="Z161" s="37"/>
      <c r="AA161" s="59"/>
      <c r="AB161" s="80"/>
      <c r="AC161" s="65"/>
      <c r="AD161" s="42"/>
      <c r="AE161" s="42"/>
      <c r="AF161" s="42"/>
      <c r="AG161" s="245"/>
      <c r="AH161" s="246"/>
      <c r="AI161" s="71"/>
      <c r="AJ161" s="39"/>
      <c r="AK161" s="71"/>
      <c r="AL161" s="39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  <c r="BG161" s="94"/>
      <c r="BH161" s="94"/>
      <c r="BI161" s="94"/>
      <c r="BJ161" s="94"/>
      <c r="BK161" s="94"/>
      <c r="BL161" s="94"/>
      <c r="BM161" s="94"/>
    </row>
    <row r="162" spans="1:65" s="101" customFormat="1" x14ac:dyDescent="0.2">
      <c r="A162" s="128"/>
      <c r="B162" s="33" t="str">
        <f t="shared" si="7"/>
        <v>-----</v>
      </c>
      <c r="C162" s="42"/>
      <c r="D162" s="68"/>
      <c r="E162" s="68"/>
      <c r="F162" s="41"/>
      <c r="G162" s="41"/>
      <c r="H162" s="288"/>
      <c r="I162" s="221"/>
      <c r="J162" s="34"/>
      <c r="K162" s="34"/>
      <c r="L162" s="312"/>
      <c r="M162" s="247"/>
      <c r="N162" s="158"/>
      <c r="O162" s="158"/>
      <c r="P162" s="197"/>
      <c r="Q162" s="251"/>
      <c r="R162" s="216"/>
      <c r="S162" s="252"/>
      <c r="T162" s="252"/>
      <c r="U162" s="252"/>
      <c r="V162" s="252"/>
      <c r="W162" s="252"/>
      <c r="X162" s="252"/>
      <c r="Y162" s="252"/>
      <c r="Z162" s="252"/>
      <c r="AA162" s="253"/>
      <c r="AB162" s="255"/>
      <c r="AC162" s="256"/>
      <c r="AD162" s="253"/>
      <c r="AE162" s="254"/>
      <c r="AF162" s="254"/>
      <c r="AG162" s="245"/>
      <c r="AH162" s="246"/>
      <c r="AI162" s="71"/>
      <c r="AJ162" s="39"/>
      <c r="AK162" s="71"/>
      <c r="AL162" s="39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  <c r="BG162" s="94"/>
      <c r="BH162" s="94"/>
      <c r="BI162" s="94"/>
      <c r="BJ162" s="94"/>
      <c r="BK162" s="94"/>
      <c r="BL162" s="94"/>
      <c r="BM162" s="94"/>
    </row>
    <row r="163" spans="1:65" s="101" customFormat="1" x14ac:dyDescent="0.2">
      <c r="A163" s="128"/>
      <c r="B163" s="33" t="str">
        <f t="shared" si="7"/>
        <v>-----</v>
      </c>
      <c r="C163" s="42"/>
      <c r="D163" s="68"/>
      <c r="E163" s="68"/>
      <c r="F163" s="41"/>
      <c r="G163" s="41"/>
      <c r="H163" s="289"/>
      <c r="I163" s="77"/>
      <c r="J163" s="34"/>
      <c r="K163" s="34"/>
      <c r="L163" s="312"/>
      <c r="M163" s="247"/>
      <c r="N163" s="158"/>
      <c r="O163" s="158"/>
      <c r="P163" s="197"/>
      <c r="Q163" s="36"/>
      <c r="R163" s="63"/>
      <c r="S163" s="63"/>
      <c r="T163" s="37"/>
      <c r="U163" s="37"/>
      <c r="V163" s="37"/>
      <c r="W163" s="37"/>
      <c r="X163" s="37"/>
      <c r="Y163" s="37"/>
      <c r="Z163" s="37"/>
      <c r="AA163" s="59"/>
      <c r="AB163" s="80"/>
      <c r="AC163" s="65"/>
      <c r="AD163" s="42"/>
      <c r="AE163" s="42"/>
      <c r="AF163" s="42"/>
      <c r="AG163" s="245"/>
      <c r="AH163" s="246"/>
      <c r="AI163" s="71"/>
      <c r="AJ163" s="39"/>
      <c r="AK163" s="71"/>
      <c r="AL163" s="39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BI163" s="94"/>
      <c r="BJ163" s="94"/>
      <c r="BK163" s="94"/>
      <c r="BL163" s="94"/>
      <c r="BM163" s="94"/>
    </row>
    <row r="164" spans="1:65" s="101" customFormat="1" x14ac:dyDescent="0.2">
      <c r="A164" s="128"/>
      <c r="B164" s="33" t="str">
        <f t="shared" si="7"/>
        <v>-----</v>
      </c>
      <c r="C164" s="42"/>
      <c r="D164" s="68"/>
      <c r="E164" s="68"/>
      <c r="F164" s="41"/>
      <c r="G164" s="41"/>
      <c r="H164" s="289"/>
      <c r="I164" s="77"/>
      <c r="J164" s="34"/>
      <c r="K164" s="34"/>
      <c r="L164" s="312"/>
      <c r="M164" s="247"/>
      <c r="N164" s="158"/>
      <c r="O164" s="158"/>
      <c r="P164" s="197"/>
      <c r="Q164" s="251"/>
      <c r="R164" s="216"/>
      <c r="S164" s="252"/>
      <c r="T164" s="252"/>
      <c r="U164" s="252"/>
      <c r="V164" s="252"/>
      <c r="W164" s="252"/>
      <c r="X164" s="252"/>
      <c r="Y164" s="252"/>
      <c r="Z164" s="252"/>
      <c r="AA164" s="253"/>
      <c r="AB164" s="255"/>
      <c r="AC164" s="256"/>
      <c r="AD164" s="253"/>
      <c r="AE164" s="254"/>
      <c r="AF164" s="254"/>
      <c r="AG164" s="245"/>
      <c r="AH164" s="246"/>
      <c r="AI164" s="71"/>
      <c r="AJ164" s="39"/>
      <c r="AK164" s="71"/>
      <c r="AL164" s="39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4"/>
      <c r="BI164" s="94"/>
      <c r="BJ164" s="94"/>
      <c r="BK164" s="94"/>
      <c r="BL164" s="94"/>
      <c r="BM164" s="94"/>
    </row>
    <row r="165" spans="1:65" s="101" customFormat="1" x14ac:dyDescent="0.2">
      <c r="A165" s="128"/>
      <c r="B165" s="33" t="str">
        <f t="shared" si="7"/>
        <v>-----</v>
      </c>
      <c r="C165" s="42"/>
      <c r="D165" s="68"/>
      <c r="E165" s="68"/>
      <c r="F165" s="41"/>
      <c r="G165" s="41"/>
      <c r="H165" s="288"/>
      <c r="I165" s="77"/>
      <c r="J165" s="34"/>
      <c r="K165" s="34"/>
      <c r="L165" s="312"/>
      <c r="M165" s="247"/>
      <c r="N165" s="158"/>
      <c r="O165" s="158"/>
      <c r="P165" s="197"/>
      <c r="Q165" s="36"/>
      <c r="R165" s="63"/>
      <c r="S165" s="63"/>
      <c r="T165" s="37"/>
      <c r="U165" s="37"/>
      <c r="V165" s="37"/>
      <c r="W165" s="37"/>
      <c r="X165" s="37"/>
      <c r="Y165" s="37"/>
      <c r="Z165" s="37"/>
      <c r="AA165" s="59"/>
      <c r="AB165" s="80"/>
      <c r="AC165" s="65"/>
      <c r="AD165" s="42"/>
      <c r="AE165" s="42"/>
      <c r="AF165" s="42"/>
      <c r="AG165" s="245"/>
      <c r="AH165" s="246"/>
      <c r="AI165" s="71"/>
      <c r="AJ165" s="39"/>
      <c r="AK165" s="71"/>
      <c r="AL165" s="39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4"/>
      <c r="BI165" s="94"/>
      <c r="BJ165" s="94"/>
      <c r="BK165" s="94"/>
      <c r="BL165" s="94"/>
      <c r="BM165" s="94"/>
    </row>
    <row r="166" spans="1:65" s="101" customFormat="1" x14ac:dyDescent="0.2">
      <c r="A166" s="128"/>
      <c r="B166" s="33" t="str">
        <f t="shared" si="7"/>
        <v>-----</v>
      </c>
      <c r="C166" s="42"/>
      <c r="D166" s="68"/>
      <c r="E166" s="68"/>
      <c r="F166" s="41"/>
      <c r="G166" s="41"/>
      <c r="H166" s="288"/>
      <c r="I166" s="59"/>
      <c r="J166" s="34"/>
      <c r="K166" s="34"/>
      <c r="L166" s="317"/>
      <c r="M166" s="247"/>
      <c r="N166" s="158"/>
      <c r="O166" s="158"/>
      <c r="P166" s="197"/>
      <c r="Q166" s="251"/>
      <c r="R166" s="216"/>
      <c r="S166" s="252"/>
      <c r="T166" s="252"/>
      <c r="U166" s="252"/>
      <c r="V166" s="252"/>
      <c r="W166" s="252"/>
      <c r="X166" s="252"/>
      <c r="Y166" s="252"/>
      <c r="Z166" s="252"/>
      <c r="AA166" s="253"/>
      <c r="AB166" s="255"/>
      <c r="AC166" s="256"/>
      <c r="AD166" s="253"/>
      <c r="AE166" s="254"/>
      <c r="AF166" s="254"/>
      <c r="AG166" s="245"/>
      <c r="AH166" s="246"/>
      <c r="AI166" s="71"/>
      <c r="AJ166" s="39"/>
      <c r="AK166" s="71"/>
      <c r="AL166" s="39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  <c r="BG166" s="94"/>
      <c r="BH166" s="94"/>
      <c r="BI166" s="94"/>
      <c r="BJ166" s="94"/>
      <c r="BK166" s="94"/>
      <c r="BL166" s="94"/>
      <c r="BM166" s="94"/>
    </row>
    <row r="167" spans="1:65" s="101" customFormat="1" x14ac:dyDescent="0.2">
      <c r="A167" s="128"/>
      <c r="B167" s="33" t="str">
        <f t="shared" si="7"/>
        <v>-----</v>
      </c>
      <c r="C167" s="42"/>
      <c r="D167" s="68"/>
      <c r="E167" s="68"/>
      <c r="F167" s="41"/>
      <c r="G167" s="196"/>
      <c r="H167" s="289"/>
      <c r="I167" s="77"/>
      <c r="J167" s="34"/>
      <c r="K167" s="34"/>
      <c r="L167" s="312"/>
      <c r="M167" s="247"/>
      <c r="N167" s="158"/>
      <c r="O167" s="158"/>
      <c r="P167" s="197"/>
      <c r="Q167" s="36"/>
      <c r="R167" s="63"/>
      <c r="S167" s="63"/>
      <c r="T167" s="37"/>
      <c r="U167" s="37"/>
      <c r="V167" s="37"/>
      <c r="W167" s="37"/>
      <c r="X167" s="37"/>
      <c r="Y167" s="37"/>
      <c r="Z167" s="37"/>
      <c r="AA167" s="59"/>
      <c r="AB167" s="80"/>
      <c r="AC167" s="65"/>
      <c r="AD167" s="42"/>
      <c r="AE167" s="42"/>
      <c r="AF167" s="42"/>
      <c r="AG167" s="245"/>
      <c r="AH167" s="246"/>
      <c r="AI167" s="71"/>
      <c r="AJ167" s="39"/>
      <c r="AK167" s="71"/>
      <c r="AL167" s="39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  <c r="BG167" s="94"/>
      <c r="BH167" s="94"/>
      <c r="BI167" s="94"/>
      <c r="BJ167" s="94"/>
      <c r="BK167" s="94"/>
      <c r="BL167" s="94"/>
      <c r="BM167" s="94"/>
    </row>
    <row r="168" spans="1:65" s="101" customFormat="1" x14ac:dyDescent="0.2">
      <c r="A168" s="128"/>
      <c r="B168" s="33" t="str">
        <f t="shared" si="7"/>
        <v>-----</v>
      </c>
      <c r="C168" s="42"/>
      <c r="D168" s="68"/>
      <c r="E168" s="68"/>
      <c r="F168" s="41"/>
      <c r="G168" s="196"/>
      <c r="H168" s="289"/>
      <c r="I168" s="77"/>
      <c r="J168" s="34"/>
      <c r="K168" s="34"/>
      <c r="L168" s="312"/>
      <c r="M168" s="247"/>
      <c r="N168" s="158"/>
      <c r="O168" s="158"/>
      <c r="P168" s="197"/>
      <c r="Q168" s="251"/>
      <c r="R168" s="216"/>
      <c r="S168" s="252"/>
      <c r="T168" s="252"/>
      <c r="U168" s="252"/>
      <c r="V168" s="252"/>
      <c r="W168" s="252"/>
      <c r="X168" s="252"/>
      <c r="Y168" s="252"/>
      <c r="Z168" s="252"/>
      <c r="AA168" s="253"/>
      <c r="AB168" s="255"/>
      <c r="AC168" s="256"/>
      <c r="AD168" s="253"/>
      <c r="AE168" s="254"/>
      <c r="AF168" s="254"/>
      <c r="AG168" s="245"/>
      <c r="AH168" s="246"/>
      <c r="AI168" s="71"/>
      <c r="AJ168" s="39"/>
      <c r="AK168" s="71"/>
      <c r="AL168" s="39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4"/>
      <c r="BI168" s="94"/>
      <c r="BJ168" s="94"/>
      <c r="BK168" s="94"/>
      <c r="BL168" s="94"/>
      <c r="BM168" s="94"/>
    </row>
    <row r="169" spans="1:65" s="101" customFormat="1" x14ac:dyDescent="0.2">
      <c r="A169" s="128"/>
      <c r="B169" s="33" t="str">
        <f t="shared" si="7"/>
        <v>-----</v>
      </c>
      <c r="C169" s="42"/>
      <c r="D169" s="68"/>
      <c r="E169" s="68"/>
      <c r="F169" s="41"/>
      <c r="G169" s="196"/>
      <c r="H169" s="288"/>
      <c r="I169" s="77"/>
      <c r="J169" s="34"/>
      <c r="K169" s="34"/>
      <c r="L169" s="312"/>
      <c r="M169" s="247"/>
      <c r="N169" s="158"/>
      <c r="O169" s="158"/>
      <c r="P169" s="197"/>
      <c r="Q169" s="36"/>
      <c r="R169" s="63"/>
      <c r="S169" s="63"/>
      <c r="T169" s="37"/>
      <c r="U169" s="37"/>
      <c r="V169" s="37"/>
      <c r="W169" s="37"/>
      <c r="X169" s="37"/>
      <c r="Y169" s="37"/>
      <c r="Z169" s="37"/>
      <c r="AA169" s="59"/>
      <c r="AB169" s="80"/>
      <c r="AC169" s="65"/>
      <c r="AD169" s="42"/>
      <c r="AE169" s="42"/>
      <c r="AF169" s="42"/>
      <c r="AG169" s="245"/>
      <c r="AH169" s="246"/>
      <c r="AI169" s="71"/>
      <c r="AJ169" s="39"/>
      <c r="AK169" s="71"/>
      <c r="AL169" s="39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  <c r="BG169" s="94"/>
      <c r="BH169" s="94"/>
      <c r="BI169" s="94"/>
      <c r="BJ169" s="94"/>
      <c r="BK169" s="94"/>
      <c r="BL169" s="94"/>
      <c r="BM169" s="94"/>
    </row>
    <row r="170" spans="1:65" s="101" customFormat="1" x14ac:dyDescent="0.2">
      <c r="A170" s="128"/>
      <c r="B170" s="33" t="str">
        <f t="shared" si="7"/>
        <v>-----</v>
      </c>
      <c r="C170" s="42"/>
      <c r="D170" s="68"/>
      <c r="E170" s="68"/>
      <c r="F170" s="41"/>
      <c r="G170" s="196"/>
      <c r="H170" s="288"/>
      <c r="I170" s="222"/>
      <c r="J170" s="34"/>
      <c r="K170" s="34"/>
      <c r="L170" s="312"/>
      <c r="M170" s="247"/>
      <c r="N170" s="158"/>
      <c r="O170" s="158"/>
      <c r="P170" s="197"/>
      <c r="Q170" s="251"/>
      <c r="R170" s="216"/>
      <c r="S170" s="252"/>
      <c r="T170" s="252"/>
      <c r="U170" s="252"/>
      <c r="V170" s="252"/>
      <c r="W170" s="252"/>
      <c r="X170" s="252"/>
      <c r="Y170" s="252"/>
      <c r="Z170" s="252"/>
      <c r="AA170" s="253"/>
      <c r="AB170" s="255"/>
      <c r="AC170" s="256"/>
      <c r="AD170" s="253"/>
      <c r="AE170" s="254"/>
      <c r="AF170" s="254"/>
      <c r="AG170" s="245"/>
      <c r="AH170" s="246"/>
      <c r="AI170" s="71"/>
      <c r="AJ170" s="39"/>
      <c r="AK170" s="71"/>
      <c r="AL170" s="39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4"/>
      <c r="BE170" s="94"/>
      <c r="BF170" s="94"/>
      <c r="BG170" s="94"/>
      <c r="BH170" s="94"/>
      <c r="BI170" s="94"/>
      <c r="BJ170" s="94"/>
      <c r="BK170" s="94"/>
      <c r="BL170" s="94"/>
      <c r="BM170" s="94"/>
    </row>
    <row r="171" spans="1:65" s="101" customFormat="1" x14ac:dyDescent="0.2">
      <c r="A171" s="128"/>
      <c r="B171" s="33" t="str">
        <f t="shared" si="7"/>
        <v>-----</v>
      </c>
      <c r="C171" s="40"/>
      <c r="D171" s="68"/>
      <c r="E171" s="196"/>
      <c r="F171" s="41"/>
      <c r="G171" s="68"/>
      <c r="H171" s="68"/>
      <c r="I171" s="223"/>
      <c r="J171" s="34"/>
      <c r="K171" s="34"/>
      <c r="L171" s="35"/>
      <c r="M171" s="247"/>
      <c r="N171" s="158"/>
      <c r="O171" s="158"/>
      <c r="P171" s="197"/>
      <c r="Q171" s="36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91"/>
      <c r="AC171" s="40"/>
      <c r="AD171" s="42"/>
      <c r="AE171" s="37"/>
      <c r="AF171" s="37"/>
      <c r="AG171" s="245"/>
      <c r="AH171" s="246"/>
      <c r="AI171" s="71"/>
      <c r="AJ171" s="39"/>
      <c r="AK171" s="71"/>
      <c r="AL171" s="39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  <c r="BG171" s="94"/>
      <c r="BH171" s="94"/>
      <c r="BI171" s="94"/>
      <c r="BJ171" s="94"/>
      <c r="BK171" s="94"/>
      <c r="BL171" s="94"/>
      <c r="BM171" s="94"/>
    </row>
    <row r="172" spans="1:65" s="101" customFormat="1" x14ac:dyDescent="0.2">
      <c r="A172" s="128"/>
      <c r="B172" s="33" t="str">
        <f t="shared" si="7"/>
        <v>-----</v>
      </c>
      <c r="C172" s="42"/>
      <c r="D172" s="68"/>
      <c r="E172" s="68"/>
      <c r="F172" s="41"/>
      <c r="G172" s="41"/>
      <c r="H172" s="41"/>
      <c r="I172" s="77"/>
      <c r="J172" s="34"/>
      <c r="K172" s="34"/>
      <c r="L172" s="35"/>
      <c r="M172" s="247"/>
      <c r="N172" s="158"/>
      <c r="O172" s="158"/>
      <c r="P172" s="197"/>
      <c r="Q172" s="36"/>
      <c r="R172" s="63"/>
      <c r="S172" s="63"/>
      <c r="T172" s="37"/>
      <c r="U172" s="37"/>
      <c r="V172" s="37"/>
      <c r="W172" s="37"/>
      <c r="X172" s="37"/>
      <c r="Y172" s="37"/>
      <c r="Z172" s="37"/>
      <c r="AA172" s="59"/>
      <c r="AB172" s="80"/>
      <c r="AC172" s="65"/>
      <c r="AD172" s="42"/>
      <c r="AE172" s="42"/>
      <c r="AF172" s="42"/>
      <c r="AG172" s="245"/>
      <c r="AH172" s="246"/>
      <c r="AI172" s="71"/>
      <c r="AJ172" s="39"/>
      <c r="AK172" s="71"/>
      <c r="AL172" s="39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  <c r="BG172" s="94"/>
      <c r="BH172" s="94"/>
      <c r="BI172" s="94"/>
      <c r="BJ172" s="94"/>
      <c r="BK172" s="94"/>
      <c r="BL172" s="94"/>
      <c r="BM172" s="94"/>
    </row>
    <row r="173" spans="1:65" s="101" customFormat="1" x14ac:dyDescent="0.2">
      <c r="A173" s="128"/>
      <c r="B173" s="33" t="str">
        <f t="shared" si="7"/>
        <v>-----</v>
      </c>
      <c r="C173" s="40"/>
      <c r="D173" s="68"/>
      <c r="E173" s="196"/>
      <c r="F173" s="41"/>
      <c r="G173" s="68"/>
      <c r="H173" s="68"/>
      <c r="I173" s="223"/>
      <c r="J173" s="34"/>
      <c r="K173" s="34"/>
      <c r="L173" s="35"/>
      <c r="M173" s="247"/>
      <c r="N173" s="158"/>
      <c r="O173" s="158"/>
      <c r="P173" s="197"/>
      <c r="Q173" s="36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91"/>
      <c r="AC173" s="40"/>
      <c r="AD173" s="42"/>
      <c r="AE173" s="37"/>
      <c r="AF173" s="37"/>
      <c r="AG173" s="245"/>
      <c r="AH173" s="246"/>
      <c r="AI173" s="71"/>
      <c r="AJ173" s="39"/>
      <c r="AK173" s="71"/>
      <c r="AL173" s="39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4"/>
      <c r="BE173" s="94"/>
      <c r="BF173" s="94"/>
      <c r="BG173" s="94"/>
      <c r="BH173" s="94"/>
      <c r="BI173" s="94"/>
      <c r="BJ173" s="94"/>
      <c r="BK173" s="94"/>
      <c r="BL173" s="94"/>
      <c r="BM173" s="94"/>
    </row>
    <row r="174" spans="1:65" s="101" customFormat="1" x14ac:dyDescent="0.2">
      <c r="A174" s="128"/>
      <c r="B174" s="33" t="str">
        <f t="shared" si="7"/>
        <v>-----</v>
      </c>
      <c r="C174" s="40"/>
      <c r="D174" s="68"/>
      <c r="E174" s="196"/>
      <c r="F174" s="41"/>
      <c r="G174" s="68"/>
      <c r="H174" s="68"/>
      <c r="I174" s="223"/>
      <c r="J174" s="34"/>
      <c r="K174" s="34"/>
      <c r="L174" s="35"/>
      <c r="M174" s="247"/>
      <c r="N174" s="158"/>
      <c r="O174" s="158"/>
      <c r="P174" s="197"/>
      <c r="Q174" s="36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91"/>
      <c r="AC174" s="40"/>
      <c r="AD174" s="42"/>
      <c r="AE174" s="37"/>
      <c r="AF174" s="37"/>
      <c r="AG174" s="245"/>
      <c r="AH174" s="246"/>
      <c r="AI174" s="71"/>
      <c r="AJ174" s="39"/>
      <c r="AK174" s="71"/>
      <c r="AL174" s="39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94"/>
      <c r="BH174" s="94"/>
      <c r="BI174" s="94"/>
      <c r="BJ174" s="94"/>
      <c r="BK174" s="94"/>
      <c r="BL174" s="94"/>
      <c r="BM174" s="94"/>
    </row>
    <row r="175" spans="1:65" s="101" customFormat="1" x14ac:dyDescent="0.2">
      <c r="A175" s="128"/>
      <c r="B175" s="33"/>
      <c r="C175" s="40"/>
      <c r="D175" s="68"/>
      <c r="E175" s="196"/>
      <c r="F175" s="41"/>
      <c r="G175" s="68"/>
      <c r="H175" s="68"/>
      <c r="I175" s="223"/>
      <c r="J175" s="34"/>
      <c r="K175" s="34"/>
      <c r="L175" s="35"/>
      <c r="M175" s="247"/>
      <c r="N175" s="158"/>
      <c r="O175" s="158"/>
      <c r="P175" s="197"/>
      <c r="Q175" s="36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91"/>
      <c r="AC175" s="40"/>
      <c r="AD175" s="42"/>
      <c r="AE175" s="37"/>
      <c r="AF175" s="37"/>
      <c r="AG175" s="245"/>
      <c r="AH175" s="246"/>
      <c r="AI175" s="71"/>
      <c r="AJ175" s="39"/>
      <c r="AK175" s="71"/>
      <c r="AL175" s="39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  <c r="BG175" s="94"/>
      <c r="BH175" s="94"/>
      <c r="BI175" s="94"/>
      <c r="BJ175" s="94"/>
      <c r="BK175" s="94"/>
      <c r="BL175" s="94"/>
      <c r="BM175" s="94"/>
    </row>
    <row r="176" spans="1:65" s="101" customFormat="1" x14ac:dyDescent="0.2">
      <c r="A176" s="128"/>
      <c r="B176" s="33"/>
      <c r="C176" s="40"/>
      <c r="D176" s="68"/>
      <c r="E176" s="196"/>
      <c r="F176" s="41"/>
      <c r="G176" s="68"/>
      <c r="H176" s="68"/>
      <c r="I176" s="223"/>
      <c r="J176" s="34"/>
      <c r="K176" s="34"/>
      <c r="L176" s="35"/>
      <c r="M176" s="247"/>
      <c r="N176" s="158"/>
      <c r="O176" s="158"/>
      <c r="P176" s="197"/>
      <c r="Q176" s="36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91"/>
      <c r="AC176" s="40"/>
      <c r="AD176" s="42"/>
      <c r="AE176" s="37"/>
      <c r="AF176" s="37"/>
      <c r="AG176" s="245"/>
      <c r="AH176" s="246"/>
      <c r="AI176" s="71"/>
      <c r="AJ176" s="39"/>
      <c r="AK176" s="71"/>
      <c r="AL176" s="39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G176" s="94"/>
      <c r="BH176" s="94"/>
      <c r="BI176" s="94"/>
      <c r="BJ176" s="94"/>
      <c r="BK176" s="94"/>
      <c r="BL176" s="94"/>
      <c r="BM176" s="94"/>
    </row>
    <row r="177" spans="1:65" s="101" customFormat="1" x14ac:dyDescent="0.2">
      <c r="A177" s="128"/>
      <c r="B177" s="33"/>
      <c r="C177" s="40"/>
      <c r="D177" s="68"/>
      <c r="E177" s="196"/>
      <c r="F177" s="41"/>
      <c r="G177" s="68"/>
      <c r="H177" s="68"/>
      <c r="I177" s="223"/>
      <c r="J177" s="34"/>
      <c r="K177" s="34"/>
      <c r="L177" s="35"/>
      <c r="M177" s="247"/>
      <c r="N177" s="158"/>
      <c r="O177" s="158"/>
      <c r="P177" s="197"/>
      <c r="Q177" s="36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91"/>
      <c r="AC177" s="40"/>
      <c r="AD177" s="42"/>
      <c r="AE177" s="37"/>
      <c r="AF177" s="37"/>
      <c r="AG177" s="245"/>
      <c r="AH177" s="246"/>
      <c r="AI177" s="71"/>
      <c r="AJ177" s="39"/>
      <c r="AK177" s="71"/>
      <c r="AL177" s="39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94"/>
      <c r="BH177" s="94"/>
      <c r="BI177" s="94"/>
      <c r="BJ177" s="94"/>
      <c r="BK177" s="94"/>
      <c r="BL177" s="94"/>
      <c r="BM177" s="94"/>
    </row>
    <row r="178" spans="1:65" s="101" customFormat="1" x14ac:dyDescent="0.2">
      <c r="A178" s="128"/>
      <c r="B178" s="33"/>
      <c r="C178" s="40"/>
      <c r="D178" s="68"/>
      <c r="E178" s="196"/>
      <c r="F178" s="41"/>
      <c r="G178" s="68"/>
      <c r="H178" s="68"/>
      <c r="I178" s="223"/>
      <c r="J178" s="34"/>
      <c r="K178" s="34"/>
      <c r="L178" s="35"/>
      <c r="M178" s="247"/>
      <c r="N178" s="158"/>
      <c r="O178" s="158"/>
      <c r="P178" s="197"/>
      <c r="Q178" s="36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91"/>
      <c r="AC178" s="40"/>
      <c r="AD178" s="42"/>
      <c r="AE178" s="37"/>
      <c r="AF178" s="37"/>
      <c r="AG178" s="245"/>
      <c r="AH178" s="246"/>
      <c r="AI178" s="71"/>
      <c r="AJ178" s="39"/>
      <c r="AK178" s="71"/>
      <c r="AL178" s="39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G178" s="94"/>
      <c r="BH178" s="94"/>
      <c r="BI178" s="94"/>
      <c r="BJ178" s="94"/>
      <c r="BK178" s="94"/>
      <c r="BL178" s="94"/>
      <c r="BM178" s="94"/>
    </row>
    <row r="179" spans="1:65" s="101" customFormat="1" x14ac:dyDescent="0.2">
      <c r="A179" s="128"/>
      <c r="B179" s="33"/>
      <c r="C179" s="40"/>
      <c r="D179" s="68"/>
      <c r="E179" s="196"/>
      <c r="F179" s="41"/>
      <c r="G179" s="68"/>
      <c r="H179" s="68"/>
      <c r="I179" s="223"/>
      <c r="J179" s="34"/>
      <c r="K179" s="34"/>
      <c r="L179" s="35"/>
      <c r="M179" s="247"/>
      <c r="N179" s="158"/>
      <c r="O179" s="158"/>
      <c r="P179" s="197"/>
      <c r="Q179" s="36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91"/>
      <c r="AC179" s="40"/>
      <c r="AD179" s="42"/>
      <c r="AE179" s="37"/>
      <c r="AF179" s="37"/>
      <c r="AG179" s="245"/>
      <c r="AH179" s="246"/>
      <c r="AI179" s="71"/>
      <c r="AJ179" s="39"/>
      <c r="AK179" s="71"/>
      <c r="AL179" s="39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G179" s="94"/>
      <c r="BH179" s="94"/>
      <c r="BI179" s="94"/>
      <c r="BJ179" s="94"/>
      <c r="BK179" s="94"/>
      <c r="BL179" s="94"/>
      <c r="BM179" s="94"/>
    </row>
    <row r="180" spans="1:65" s="101" customFormat="1" x14ac:dyDescent="0.2">
      <c r="A180" s="128"/>
      <c r="B180" s="33"/>
      <c r="C180" s="40"/>
      <c r="D180" s="68"/>
      <c r="E180" s="196"/>
      <c r="F180" s="41"/>
      <c r="G180" s="68"/>
      <c r="H180" s="68"/>
      <c r="I180" s="223"/>
      <c r="J180" s="34"/>
      <c r="K180" s="34"/>
      <c r="L180" s="35"/>
      <c r="M180" s="247"/>
      <c r="N180" s="158"/>
      <c r="O180" s="158"/>
      <c r="P180" s="197"/>
      <c r="Q180" s="36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91"/>
      <c r="AC180" s="40"/>
      <c r="AD180" s="42"/>
      <c r="AE180" s="37"/>
      <c r="AF180" s="37"/>
      <c r="AG180" s="245"/>
      <c r="AH180" s="246"/>
      <c r="AI180" s="71"/>
      <c r="AJ180" s="39"/>
      <c r="AK180" s="71"/>
      <c r="AL180" s="39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G180" s="94"/>
      <c r="BH180" s="94"/>
      <c r="BI180" s="94"/>
      <c r="BJ180" s="94"/>
      <c r="BK180" s="94"/>
      <c r="BL180" s="94"/>
      <c r="BM180" s="94"/>
    </row>
    <row r="181" spans="1:65" s="101" customFormat="1" x14ac:dyDescent="0.2">
      <c r="A181" s="128"/>
      <c r="B181" s="33"/>
      <c r="C181" s="40"/>
      <c r="D181" s="68"/>
      <c r="E181" s="196"/>
      <c r="F181" s="41"/>
      <c r="G181" s="68"/>
      <c r="H181" s="68"/>
      <c r="I181" s="223"/>
      <c r="J181" s="34"/>
      <c r="K181" s="34"/>
      <c r="L181" s="35"/>
      <c r="M181" s="249"/>
      <c r="N181" s="244"/>
      <c r="O181" s="244"/>
      <c r="P181" s="231"/>
      <c r="Q181" s="36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91"/>
      <c r="AC181" s="40"/>
      <c r="AD181" s="42"/>
      <c r="AE181" s="37"/>
      <c r="AF181" s="37"/>
      <c r="AG181" s="245"/>
      <c r="AH181" s="246"/>
      <c r="AI181" s="71"/>
      <c r="AJ181" s="39"/>
      <c r="AK181" s="71"/>
      <c r="AL181" s="39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4"/>
      <c r="BI181" s="94"/>
      <c r="BJ181" s="94"/>
      <c r="BK181" s="94"/>
      <c r="BL181" s="94"/>
      <c r="BM181" s="94"/>
    </row>
    <row r="182" spans="1:65" s="101" customFormat="1" ht="15" x14ac:dyDescent="0.2">
      <c r="A182" s="128"/>
      <c r="B182" s="169" t="s">
        <v>73</v>
      </c>
      <c r="C182" s="173"/>
      <c r="D182" s="170"/>
      <c r="E182" s="171"/>
      <c r="F182" s="171"/>
      <c r="G182" s="172"/>
      <c r="H182" s="172"/>
      <c r="I182" s="224"/>
      <c r="J182" s="177" t="s">
        <v>72</v>
      </c>
      <c r="K182" s="176"/>
      <c r="L182" s="35"/>
      <c r="M182" s="249"/>
      <c r="N182" s="244"/>
      <c r="O182" s="244"/>
      <c r="P182" s="35"/>
      <c r="Q182" s="36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91"/>
      <c r="AC182" s="40"/>
      <c r="AD182" s="42"/>
      <c r="AE182" s="37"/>
      <c r="AF182" s="37"/>
      <c r="AG182" s="245"/>
      <c r="AH182" s="246"/>
      <c r="AI182" s="71"/>
      <c r="AJ182" s="39"/>
      <c r="AK182" s="71"/>
      <c r="AL182" s="39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  <c r="BG182" s="94"/>
      <c r="BH182" s="94"/>
      <c r="BI182" s="94"/>
      <c r="BJ182" s="94"/>
      <c r="BK182" s="94"/>
      <c r="BL182" s="94"/>
      <c r="BM182" s="94"/>
    </row>
    <row r="183" spans="1:65" s="101" customFormat="1" ht="15" x14ac:dyDescent="0.2">
      <c r="A183" s="128"/>
      <c r="B183" s="104" t="s">
        <v>26</v>
      </c>
      <c r="C183" s="174"/>
      <c r="D183" s="103"/>
      <c r="E183" s="103"/>
      <c r="F183" s="105"/>
      <c r="G183" s="105"/>
      <c r="H183" s="105"/>
      <c r="I183" s="112"/>
      <c r="J183" s="178"/>
      <c r="K183" s="166"/>
      <c r="L183" s="35"/>
      <c r="M183" s="249"/>
      <c r="N183" s="244"/>
      <c r="O183" s="244"/>
      <c r="P183" s="35"/>
      <c r="Q183" s="160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91"/>
      <c r="AC183" s="40"/>
      <c r="AD183" s="42"/>
      <c r="AE183" s="42"/>
      <c r="AF183" s="42"/>
      <c r="AG183" s="245"/>
      <c r="AH183" s="246"/>
      <c r="AI183" s="71"/>
      <c r="AJ183" s="39"/>
      <c r="AK183" s="71"/>
      <c r="AL183" s="39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4"/>
      <c r="BI183" s="94"/>
      <c r="BJ183" s="94"/>
      <c r="BK183" s="94"/>
      <c r="BL183" s="94"/>
      <c r="BM183" s="94"/>
    </row>
    <row r="184" spans="1:65" s="101" customFormat="1" ht="15" x14ac:dyDescent="0.2">
      <c r="A184" s="128"/>
      <c r="B184" s="104" t="s">
        <v>48</v>
      </c>
      <c r="C184" s="113"/>
      <c r="D184" s="103"/>
      <c r="E184" s="103"/>
      <c r="F184" s="103"/>
      <c r="G184" s="105"/>
      <c r="H184" s="105"/>
      <c r="I184" s="112"/>
      <c r="J184" s="179" t="s">
        <v>84</v>
      </c>
      <c r="K184" s="167"/>
      <c r="L184" s="106"/>
      <c r="M184" s="106"/>
      <c r="N184" s="106"/>
      <c r="O184" s="106"/>
      <c r="P184" s="106"/>
      <c r="Q184" s="107"/>
      <c r="R184" s="97"/>
      <c r="S184" s="97"/>
      <c r="T184" s="97"/>
      <c r="U184" s="97"/>
      <c r="V184" s="97"/>
      <c r="W184" s="97"/>
      <c r="X184" s="97"/>
      <c r="Y184" s="97"/>
      <c r="Z184" s="97"/>
      <c r="AA184" s="99"/>
      <c r="AB184" s="98"/>
      <c r="AC184" s="99"/>
      <c r="AD184" s="99"/>
      <c r="AE184" s="99"/>
      <c r="AF184" s="99"/>
      <c r="AG184" s="108"/>
      <c r="AH184" s="108"/>
      <c r="AI184" s="71"/>
      <c r="AJ184" s="39"/>
      <c r="AK184" s="71"/>
      <c r="AL184" s="39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4"/>
      <c r="BE184" s="94"/>
      <c r="BF184" s="94"/>
      <c r="BG184" s="94"/>
      <c r="BH184" s="94"/>
      <c r="BI184" s="94"/>
      <c r="BJ184" s="94"/>
      <c r="BK184" s="94"/>
      <c r="BL184" s="94"/>
      <c r="BM184" s="94"/>
    </row>
    <row r="185" spans="1:65" s="101" customFormat="1" ht="15" x14ac:dyDescent="0.2">
      <c r="A185" s="128"/>
      <c r="B185" s="104" t="s">
        <v>47</v>
      </c>
      <c r="C185" s="113"/>
      <c r="D185" s="103"/>
      <c r="E185" s="103"/>
      <c r="F185" s="103"/>
      <c r="G185" s="105"/>
      <c r="H185" s="105"/>
      <c r="I185" s="112"/>
      <c r="J185" s="179" t="s">
        <v>85</v>
      </c>
      <c r="K185" s="167"/>
      <c r="L185" s="106"/>
      <c r="M185" s="106"/>
      <c r="N185" s="106"/>
      <c r="O185" s="106"/>
      <c r="P185" s="106"/>
      <c r="Q185" s="107"/>
      <c r="R185" s="97"/>
      <c r="S185" s="97"/>
      <c r="T185" s="97"/>
      <c r="U185" s="97"/>
      <c r="V185" s="97"/>
      <c r="W185" s="97"/>
      <c r="X185" s="97"/>
      <c r="Y185" s="97"/>
      <c r="Z185" s="97"/>
      <c r="AA185" s="99"/>
      <c r="AB185" s="98"/>
      <c r="AC185" s="99"/>
      <c r="AD185" s="99"/>
      <c r="AE185" s="99"/>
      <c r="AF185" s="99"/>
      <c r="AG185" s="108"/>
      <c r="AH185" s="108"/>
      <c r="AI185" s="149"/>
      <c r="AJ185" s="150"/>
      <c r="AK185" s="149"/>
      <c r="AL185" s="150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4"/>
      <c r="BI185" s="94"/>
      <c r="BJ185" s="94"/>
      <c r="BK185" s="94"/>
      <c r="BL185" s="94"/>
      <c r="BM185" s="94"/>
    </row>
    <row r="186" spans="1:65" s="101" customFormat="1" ht="15" x14ac:dyDescent="0.2">
      <c r="A186" s="128"/>
      <c r="B186" s="104" t="s">
        <v>42</v>
      </c>
      <c r="C186" s="113"/>
      <c r="D186" s="103"/>
      <c r="E186" s="105"/>
      <c r="F186" s="105"/>
      <c r="G186" s="105"/>
      <c r="H186" s="105"/>
      <c r="I186" s="112"/>
      <c r="J186" s="179"/>
      <c r="K186" s="167"/>
      <c r="L186" s="109"/>
      <c r="M186" s="109"/>
      <c r="N186" s="109"/>
      <c r="O186" s="109"/>
      <c r="P186" s="109"/>
      <c r="Q186" s="110"/>
      <c r="R186" s="97"/>
      <c r="S186" s="97"/>
      <c r="T186" s="97"/>
      <c r="U186" s="97"/>
      <c r="V186" s="97"/>
      <c r="W186" s="97"/>
      <c r="X186" s="97"/>
      <c r="Y186" s="97"/>
      <c r="Z186" s="97"/>
      <c r="AA186" s="99"/>
      <c r="AB186" s="98"/>
      <c r="AC186" s="99"/>
      <c r="AD186" s="99"/>
      <c r="AE186" s="99"/>
      <c r="AF186" s="99"/>
      <c r="AG186" s="108"/>
      <c r="AH186" s="108"/>
      <c r="AI186" s="122"/>
      <c r="AJ186" s="100"/>
      <c r="AK186" s="122"/>
      <c r="AL186" s="100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4"/>
      <c r="BE186" s="94"/>
      <c r="BF186" s="94"/>
      <c r="BG186" s="94"/>
      <c r="BH186" s="94"/>
      <c r="BI186" s="94"/>
      <c r="BJ186" s="94"/>
      <c r="BK186" s="94"/>
      <c r="BL186" s="94"/>
      <c r="BM186" s="94"/>
    </row>
    <row r="187" spans="1:65" s="101" customFormat="1" ht="15" x14ac:dyDescent="0.2">
      <c r="A187" s="128"/>
      <c r="B187" s="104" t="s">
        <v>43</v>
      </c>
      <c r="C187" s="113"/>
      <c r="D187" s="103"/>
      <c r="E187" s="105"/>
      <c r="F187" s="105"/>
      <c r="G187" s="105"/>
      <c r="H187" s="105"/>
      <c r="I187" s="112"/>
      <c r="J187" s="180"/>
      <c r="K187" s="168"/>
      <c r="L187" s="109"/>
      <c r="M187" s="109"/>
      <c r="N187" s="109"/>
      <c r="O187" s="109"/>
      <c r="P187" s="109"/>
      <c r="Q187" s="110"/>
      <c r="R187" s="97"/>
      <c r="S187" s="111"/>
      <c r="T187" s="97"/>
      <c r="U187" s="97"/>
      <c r="V187" s="97"/>
      <c r="W187" s="97"/>
      <c r="X187" s="97"/>
      <c r="Y187" s="97"/>
      <c r="Z187" s="97"/>
      <c r="AA187" s="99"/>
      <c r="AB187" s="98"/>
      <c r="AC187" s="99"/>
      <c r="AD187" s="99"/>
      <c r="AE187" s="99"/>
      <c r="AF187" s="99"/>
      <c r="AG187" s="108"/>
      <c r="AH187" s="108"/>
      <c r="AI187" s="122"/>
      <c r="AJ187" s="100"/>
      <c r="AK187" s="122"/>
      <c r="AL187" s="100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4"/>
      <c r="BI187" s="94"/>
      <c r="BJ187" s="94"/>
      <c r="BK187" s="94"/>
      <c r="BL187" s="94"/>
      <c r="BM187" s="94"/>
    </row>
    <row r="188" spans="1:65" s="101" customFormat="1" ht="15" x14ac:dyDescent="0.2">
      <c r="A188" s="128"/>
      <c r="B188" s="104" t="s">
        <v>14</v>
      </c>
      <c r="C188" s="113"/>
      <c r="D188" s="103"/>
      <c r="E188" s="94"/>
      <c r="F188" s="94"/>
      <c r="G188" s="94"/>
      <c r="H188" s="94"/>
      <c r="I188" s="94"/>
      <c r="J188" s="178"/>
      <c r="K188" s="166"/>
      <c r="L188" s="106"/>
      <c r="M188" s="106"/>
      <c r="N188" s="106"/>
      <c r="O188" s="106"/>
      <c r="P188" s="106"/>
      <c r="Q188" s="107"/>
      <c r="R188" s="97"/>
      <c r="S188" s="111"/>
      <c r="T188" s="97"/>
      <c r="U188" s="97"/>
      <c r="V188" s="97"/>
      <c r="W188" s="97"/>
      <c r="X188" s="97"/>
      <c r="Y188" s="97"/>
      <c r="Z188" s="97"/>
      <c r="AA188" s="99"/>
      <c r="AB188" s="98"/>
      <c r="AC188" s="99"/>
      <c r="AD188" s="99"/>
      <c r="AE188" s="99"/>
      <c r="AF188" s="99"/>
      <c r="AG188" s="108"/>
      <c r="AH188" s="108"/>
      <c r="AI188" s="122"/>
      <c r="AJ188" s="100"/>
      <c r="AK188" s="122"/>
      <c r="AL188" s="100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4"/>
      <c r="BE188" s="94"/>
      <c r="BF188" s="94"/>
      <c r="BG188" s="94"/>
      <c r="BH188" s="94"/>
      <c r="BI188" s="94"/>
      <c r="BJ188" s="94"/>
      <c r="BK188" s="94"/>
      <c r="BL188" s="94"/>
      <c r="BM188" s="94"/>
    </row>
    <row r="189" spans="1:65" s="101" customFormat="1" ht="15" x14ac:dyDescent="0.2">
      <c r="A189" s="128"/>
      <c r="B189" s="104" t="s">
        <v>15</v>
      </c>
      <c r="C189" s="175"/>
      <c r="D189" s="105"/>
      <c r="E189" s="95"/>
      <c r="F189" s="95"/>
      <c r="G189" s="105"/>
      <c r="H189" s="105"/>
      <c r="I189" s="112"/>
      <c r="J189" s="178"/>
      <c r="K189" s="166"/>
      <c r="L189" s="109"/>
      <c r="M189" s="109"/>
      <c r="N189" s="109"/>
      <c r="O189" s="109"/>
      <c r="P189" s="109"/>
      <c r="Q189" s="110"/>
      <c r="R189" s="97"/>
      <c r="S189" s="111"/>
      <c r="T189" s="97"/>
      <c r="U189" s="97"/>
      <c r="V189" s="97"/>
      <c r="W189" s="97"/>
      <c r="X189" s="97"/>
      <c r="Y189" s="97"/>
      <c r="Z189" s="97"/>
      <c r="AA189" s="99"/>
      <c r="AB189" s="98"/>
      <c r="AC189" s="99"/>
      <c r="AD189" s="99"/>
      <c r="AE189" s="99"/>
      <c r="AF189" s="99"/>
      <c r="AG189" s="108"/>
      <c r="AH189" s="108"/>
      <c r="AI189" s="121"/>
      <c r="AJ189" s="100"/>
      <c r="AK189" s="122"/>
      <c r="AL189" s="100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  <c r="BG189" s="94"/>
      <c r="BH189" s="94"/>
      <c r="BI189" s="94"/>
      <c r="BJ189" s="94"/>
      <c r="BK189" s="94"/>
      <c r="BL189" s="94"/>
      <c r="BM189" s="94"/>
    </row>
    <row r="190" spans="1:65" s="101" customFormat="1" x14ac:dyDescent="0.2">
      <c r="A190" s="128"/>
      <c r="B190" s="112"/>
      <c r="C190" s="102"/>
      <c r="D190" s="105"/>
      <c r="E190" s="105"/>
      <c r="F190" s="105"/>
      <c r="G190" s="95"/>
      <c r="H190" s="95"/>
      <c r="I190" s="112"/>
      <c r="J190" s="162"/>
      <c r="K190" s="96"/>
      <c r="L190" s="109"/>
      <c r="M190" s="109"/>
      <c r="N190" s="109"/>
      <c r="O190" s="109"/>
      <c r="P190" s="109"/>
      <c r="Q190" s="110"/>
      <c r="R190" s="97"/>
      <c r="S190" s="111"/>
      <c r="T190" s="97"/>
      <c r="U190" s="97"/>
      <c r="V190" s="97"/>
      <c r="W190" s="97"/>
      <c r="X190" s="97"/>
      <c r="Y190" s="97"/>
      <c r="Z190" s="97"/>
      <c r="AA190" s="99"/>
      <c r="AB190" s="98"/>
      <c r="AC190" s="99"/>
      <c r="AD190" s="99"/>
      <c r="AE190" s="99"/>
      <c r="AF190" s="99"/>
      <c r="AG190" s="108"/>
      <c r="AH190" s="108"/>
      <c r="AI190" s="122"/>
      <c r="AJ190" s="100"/>
      <c r="AK190" s="122"/>
      <c r="AL190" s="100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4"/>
      <c r="BE190" s="94"/>
      <c r="BF190" s="94"/>
      <c r="BG190" s="94"/>
      <c r="BH190" s="94"/>
      <c r="BI190" s="94"/>
      <c r="BJ190" s="94"/>
      <c r="BK190" s="94"/>
      <c r="BL190" s="94"/>
      <c r="BM190" s="94"/>
    </row>
    <row r="191" spans="1:65" s="101" customFormat="1" x14ac:dyDescent="0.2">
      <c r="A191" s="128"/>
      <c r="B191" s="112"/>
      <c r="C191" s="95"/>
      <c r="D191" s="102"/>
      <c r="E191" s="102"/>
      <c r="F191" s="102"/>
      <c r="G191" s="102"/>
      <c r="H191" s="102"/>
      <c r="I191" s="104"/>
      <c r="J191" s="95"/>
      <c r="K191" s="96"/>
      <c r="L191" s="109"/>
      <c r="M191" s="109"/>
      <c r="N191" s="109"/>
      <c r="O191" s="109"/>
      <c r="P191" s="109"/>
      <c r="Q191" s="110"/>
      <c r="R191" s="97"/>
      <c r="S191" s="111"/>
      <c r="T191" s="97"/>
      <c r="U191" s="97"/>
      <c r="V191" s="97"/>
      <c r="W191" s="97"/>
      <c r="X191" s="97"/>
      <c r="Y191" s="97"/>
      <c r="Z191" s="97"/>
      <c r="AA191" s="99"/>
      <c r="AB191" s="98"/>
      <c r="AC191" s="99"/>
      <c r="AD191" s="99"/>
      <c r="AE191" s="99"/>
      <c r="AF191" s="99"/>
      <c r="AG191" s="108"/>
      <c r="AH191" s="108"/>
      <c r="AI191" s="122"/>
      <c r="AJ191" s="100"/>
      <c r="AK191" s="122"/>
      <c r="AL191" s="100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4"/>
      <c r="BI191" s="94"/>
      <c r="BJ191" s="94"/>
      <c r="BK191" s="94"/>
      <c r="BL191" s="94"/>
      <c r="BM191" s="94"/>
    </row>
    <row r="192" spans="1:65" s="101" customFormat="1" ht="19" x14ac:dyDescent="0.2">
      <c r="A192" s="128"/>
      <c r="B192" s="183" t="s">
        <v>12</v>
      </c>
      <c r="C192" s="184"/>
      <c r="D192" s="151"/>
      <c r="E192" s="151"/>
      <c r="F192" s="151"/>
      <c r="G192" s="151"/>
      <c r="H192" s="151"/>
      <c r="I192" s="225"/>
      <c r="J192" s="184"/>
      <c r="K192" s="185"/>
      <c r="L192" s="114"/>
      <c r="M192" s="114"/>
      <c r="N192" s="114"/>
      <c r="O192" s="114"/>
      <c r="P192" s="114"/>
      <c r="Q192" s="181"/>
      <c r="R192" s="115"/>
      <c r="S192" s="116"/>
      <c r="T192" s="115"/>
      <c r="U192" s="115"/>
      <c r="V192" s="115"/>
      <c r="W192" s="115"/>
      <c r="X192" s="115"/>
      <c r="Y192" s="115"/>
      <c r="Z192" s="115"/>
      <c r="AA192" s="118"/>
      <c r="AB192" s="117"/>
      <c r="AC192" s="118"/>
      <c r="AD192" s="118"/>
      <c r="AE192" s="118"/>
      <c r="AF192" s="118"/>
      <c r="AG192" s="182"/>
      <c r="AH192" s="182"/>
      <c r="AI192" s="122"/>
      <c r="AJ192" s="100"/>
      <c r="AK192" s="122"/>
      <c r="AL192" s="100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4"/>
      <c r="BE192" s="94"/>
      <c r="BF192" s="94"/>
      <c r="BG192" s="94"/>
      <c r="BH192" s="94"/>
      <c r="BI192" s="94"/>
      <c r="BJ192" s="94"/>
      <c r="BK192" s="94"/>
      <c r="BL192" s="94"/>
      <c r="BM192" s="94"/>
    </row>
    <row r="193" spans="1:65" s="13" customFormat="1" x14ac:dyDescent="0.2">
      <c r="A193" s="127"/>
      <c r="B193" s="46" t="s">
        <v>13</v>
      </c>
      <c r="C193" s="46"/>
      <c r="D193" s="46"/>
      <c r="E193" s="46"/>
      <c r="F193" s="46"/>
      <c r="G193" s="46"/>
      <c r="H193" s="46"/>
      <c r="I193" s="77"/>
      <c r="J193" s="259"/>
      <c r="K193" s="74"/>
      <c r="L193" s="157"/>
      <c r="M193" s="81" t="s">
        <v>28</v>
      </c>
      <c r="N193" s="75" t="s">
        <v>36</v>
      </c>
      <c r="O193" s="75"/>
      <c r="P193" s="63"/>
      <c r="Q193" s="80"/>
      <c r="R193" s="63"/>
      <c r="S193" s="60"/>
      <c r="T193" s="63"/>
      <c r="U193" s="63"/>
      <c r="V193" s="63"/>
      <c r="W193" s="63"/>
      <c r="X193" s="63"/>
      <c r="Y193" s="63"/>
      <c r="Z193" s="63"/>
      <c r="AA193" s="59"/>
      <c r="AB193" s="80"/>
      <c r="AC193" s="66" t="s">
        <v>31</v>
      </c>
      <c r="AD193" s="59"/>
      <c r="AE193" s="66">
        <v>671</v>
      </c>
      <c r="AF193" s="59"/>
      <c r="AG193" s="81"/>
      <c r="AH193" s="75"/>
      <c r="AI193" s="120" t="s">
        <v>27</v>
      </c>
      <c r="AJ193" s="87"/>
      <c r="AK193" s="119"/>
      <c r="AL193" s="86"/>
      <c r="AM193" s="331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</row>
    <row r="194" spans="1:65" s="5" customFormat="1" ht="34" x14ac:dyDescent="0.2">
      <c r="A194" s="43"/>
      <c r="B194" s="48" t="s">
        <v>9</v>
      </c>
      <c r="C194" s="49" t="s">
        <v>40</v>
      </c>
      <c r="D194" s="49" t="s">
        <v>41</v>
      </c>
      <c r="E194" s="49" t="s">
        <v>44</v>
      </c>
      <c r="F194" s="49" t="s">
        <v>17</v>
      </c>
      <c r="G194" s="49" t="s">
        <v>22</v>
      </c>
      <c r="H194" s="49" t="s">
        <v>87</v>
      </c>
      <c r="I194" s="273" t="s">
        <v>60</v>
      </c>
      <c r="J194" s="260" t="s">
        <v>10</v>
      </c>
      <c r="K194" s="50" t="s">
        <v>33</v>
      </c>
      <c r="L194" s="49" t="s">
        <v>11</v>
      </c>
      <c r="M194" s="55" t="s">
        <v>29</v>
      </c>
      <c r="N194" s="56" t="s">
        <v>30</v>
      </c>
      <c r="O194" s="56" t="s">
        <v>34</v>
      </c>
      <c r="P194" s="53" t="s">
        <v>37</v>
      </c>
      <c r="Q194" s="52" t="s">
        <v>16</v>
      </c>
      <c r="R194" s="53" t="s">
        <v>35</v>
      </c>
      <c r="S194" s="54" t="s">
        <v>21</v>
      </c>
      <c r="T194" s="53" t="s">
        <v>7</v>
      </c>
      <c r="U194" s="53" t="s">
        <v>18</v>
      </c>
      <c r="V194" s="53" t="s">
        <v>8</v>
      </c>
      <c r="W194" s="53" t="s">
        <v>20</v>
      </c>
      <c r="X194" s="53" t="s">
        <v>19</v>
      </c>
      <c r="Y194" s="53" t="s">
        <v>123</v>
      </c>
      <c r="Z194" s="53" t="s">
        <v>124</v>
      </c>
      <c r="AA194" s="58" t="s">
        <v>83</v>
      </c>
      <c r="AB194" s="90" t="s">
        <v>60</v>
      </c>
      <c r="AC194" s="57" t="s">
        <v>32</v>
      </c>
      <c r="AD194" s="58">
        <v>457</v>
      </c>
      <c r="AE194" s="58" t="s">
        <v>49</v>
      </c>
      <c r="AF194" s="58" t="s">
        <v>62</v>
      </c>
      <c r="AG194" s="215" t="s">
        <v>80</v>
      </c>
      <c r="AH194" s="51" t="s">
        <v>81</v>
      </c>
      <c r="AI194" s="147" t="s">
        <v>56</v>
      </c>
      <c r="AJ194" s="148" t="s">
        <v>55</v>
      </c>
      <c r="AK194" s="147" t="s">
        <v>57</v>
      </c>
      <c r="AL194" s="148" t="s">
        <v>58</v>
      </c>
      <c r="AM194" s="164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</row>
    <row r="195" spans="1:65" s="5" customFormat="1" x14ac:dyDescent="0.2">
      <c r="A195" s="30"/>
      <c r="B195" s="32"/>
      <c r="C195" s="28"/>
      <c r="D195" s="28"/>
      <c r="E195" s="32"/>
      <c r="F195" s="28"/>
      <c r="G195" s="25"/>
      <c r="H195" s="25"/>
      <c r="I195" s="31"/>
      <c r="J195" s="164"/>
      <c r="K195" s="25"/>
      <c r="L195" s="26"/>
      <c r="M195" s="269"/>
      <c r="N195" s="270"/>
      <c r="O195" s="270"/>
      <c r="P195" s="270"/>
      <c r="Q195" s="251" t="s">
        <v>114</v>
      </c>
      <c r="R195" s="216" t="s">
        <v>112</v>
      </c>
      <c r="S195" s="252">
        <v>0.1</v>
      </c>
      <c r="T195" s="252">
        <v>31.65</v>
      </c>
      <c r="U195" s="252">
        <v>57.6</v>
      </c>
      <c r="V195" s="252">
        <v>68.650000000000006</v>
      </c>
      <c r="W195" s="252">
        <v>48</v>
      </c>
      <c r="X195" s="252">
        <v>43.65</v>
      </c>
      <c r="Y195" s="252" t="s">
        <v>98</v>
      </c>
      <c r="Z195" s="252" t="s">
        <v>98</v>
      </c>
      <c r="AA195" s="37">
        <v>73</v>
      </c>
      <c r="AB195" s="91"/>
      <c r="AC195" s="163" t="s">
        <v>155</v>
      </c>
      <c r="AD195" s="41" t="s">
        <v>38</v>
      </c>
      <c r="AE195" s="41" t="s">
        <v>333</v>
      </c>
      <c r="AF195" s="41" t="s">
        <v>334</v>
      </c>
      <c r="AG195" s="38"/>
      <c r="AH195" s="64"/>
      <c r="AI195" s="71"/>
      <c r="AJ195" s="39"/>
      <c r="AK195" s="71"/>
      <c r="AL195" s="39"/>
      <c r="AM195" s="164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</row>
    <row r="196" spans="1:65" s="5" customFormat="1" x14ac:dyDescent="0.2">
      <c r="A196" s="30"/>
      <c r="B196" s="33" t="str">
        <f>CONCATENATE(C196,"-",D196,"-",$E196,"-",F196,,"-",G196,"-",H196,"-S")</f>
        <v>------S</v>
      </c>
      <c r="C196" s="42"/>
      <c r="D196" s="46"/>
      <c r="E196" s="46"/>
      <c r="F196" s="46"/>
      <c r="G196" s="46"/>
      <c r="H196" s="41"/>
      <c r="I196" s="31"/>
      <c r="J196" s="164"/>
      <c r="K196" s="25"/>
      <c r="L196" s="35"/>
      <c r="M196" s="269"/>
      <c r="N196" s="270"/>
      <c r="O196" s="270"/>
      <c r="P196" s="270"/>
      <c r="Q196" s="165"/>
      <c r="R196" s="22"/>
      <c r="S196" s="24"/>
      <c r="T196" s="22"/>
      <c r="U196" s="22"/>
      <c r="V196" s="22"/>
      <c r="W196" s="22"/>
      <c r="X196" s="22"/>
      <c r="Y196" s="22"/>
      <c r="Z196" s="22"/>
      <c r="AA196" s="37"/>
      <c r="AB196" s="91"/>
      <c r="AC196" s="163"/>
      <c r="AD196" s="41"/>
      <c r="AE196" s="41"/>
      <c r="AF196" s="41"/>
      <c r="AG196" s="245"/>
      <c r="AH196" s="246"/>
      <c r="AI196" s="71"/>
      <c r="AJ196" s="39"/>
      <c r="AK196" s="71"/>
      <c r="AL196" s="39"/>
      <c r="AM196" s="164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</row>
    <row r="197" spans="1:65" x14ac:dyDescent="0.2">
      <c r="A197" s="129"/>
      <c r="B197" s="33" t="str">
        <f t="shared" ref="B197:B259" si="8">CONCATENATE(C197,"-",D197,"-",$E197,"-",F197,,"-",G197,"-",H197,"-S")</f>
        <v>------S</v>
      </c>
      <c r="C197" s="42"/>
      <c r="D197" s="60"/>
      <c r="E197" s="46"/>
      <c r="F197" s="46"/>
      <c r="G197" s="46"/>
      <c r="H197" s="41"/>
      <c r="I197" s="161"/>
      <c r="J197" s="268"/>
      <c r="K197" s="34"/>
      <c r="L197" s="35"/>
      <c r="M197" s="247"/>
      <c r="N197" s="158"/>
      <c r="O197" s="158"/>
      <c r="P197" s="158"/>
      <c r="Q197" s="267"/>
      <c r="R197" s="37"/>
      <c r="S197" s="39"/>
      <c r="T197" s="37"/>
      <c r="U197" s="37"/>
      <c r="V197" s="37"/>
      <c r="W197" s="37"/>
      <c r="X197" s="37"/>
      <c r="Y197" s="37"/>
      <c r="Z197" s="37"/>
      <c r="AA197" s="37"/>
      <c r="AB197" s="91"/>
      <c r="AC197" s="40"/>
      <c r="AD197" s="42"/>
      <c r="AE197" s="42"/>
      <c r="AF197" s="42"/>
      <c r="AG197" s="245"/>
      <c r="AH197" s="246"/>
      <c r="AI197" s="265"/>
      <c r="AJ197" s="150"/>
      <c r="AK197" s="265"/>
      <c r="AL197" s="150"/>
      <c r="AM197" s="328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</row>
    <row r="198" spans="1:65" x14ac:dyDescent="0.2">
      <c r="A198" s="129"/>
      <c r="B198" s="33" t="str">
        <f t="shared" si="8"/>
        <v>BLNK---SYBR-2--S</v>
      </c>
      <c r="C198" s="42" t="s">
        <v>53</v>
      </c>
      <c r="D198" s="46"/>
      <c r="E198" s="46"/>
      <c r="F198" s="46" t="s">
        <v>4</v>
      </c>
      <c r="G198" s="46" t="s">
        <v>136</v>
      </c>
      <c r="H198" s="41"/>
      <c r="I198" s="161" t="s">
        <v>331</v>
      </c>
      <c r="J198" s="268" t="s">
        <v>335</v>
      </c>
      <c r="K198" s="34" t="s">
        <v>336</v>
      </c>
      <c r="L198" s="35" t="s">
        <v>337</v>
      </c>
      <c r="M198" s="247"/>
      <c r="N198" s="158"/>
      <c r="O198" s="158"/>
      <c r="P198" s="158"/>
      <c r="Q198" s="251" t="s">
        <v>114</v>
      </c>
      <c r="R198" s="216" t="s">
        <v>112</v>
      </c>
      <c r="S198" s="252">
        <v>0.1</v>
      </c>
      <c r="T198" s="252">
        <v>31.65</v>
      </c>
      <c r="U198" s="252">
        <v>57.6</v>
      </c>
      <c r="V198" s="252">
        <v>68.650000000000006</v>
      </c>
      <c r="W198" s="252">
        <v>48</v>
      </c>
      <c r="X198" s="252">
        <v>43.65</v>
      </c>
      <c r="Y198" s="252" t="s">
        <v>98</v>
      </c>
      <c r="Z198" s="252" t="s">
        <v>98</v>
      </c>
      <c r="AA198" s="37">
        <v>73</v>
      </c>
      <c r="AB198" s="91" t="s">
        <v>332</v>
      </c>
      <c r="AC198" s="163" t="s">
        <v>155</v>
      </c>
      <c r="AD198" s="41" t="s">
        <v>38</v>
      </c>
      <c r="AE198" s="41" t="s">
        <v>333</v>
      </c>
      <c r="AF198" s="41" t="s">
        <v>334</v>
      </c>
      <c r="AG198" s="245"/>
      <c r="AH198" s="246"/>
      <c r="AI198" s="265"/>
      <c r="AJ198" s="150"/>
      <c r="AK198" s="265"/>
      <c r="AL198" s="150"/>
      <c r="AM198" s="328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</row>
    <row r="199" spans="1:65" x14ac:dyDescent="0.2">
      <c r="A199" s="129"/>
      <c r="B199" s="33" t="str">
        <f t="shared" si="8"/>
        <v>MILLIQ---SYBR-2--S</v>
      </c>
      <c r="C199" s="42" t="s">
        <v>115</v>
      </c>
      <c r="D199" s="41"/>
      <c r="E199" s="41"/>
      <c r="F199" s="46" t="s">
        <v>4</v>
      </c>
      <c r="G199" s="46" t="s">
        <v>136</v>
      </c>
      <c r="H199" s="41"/>
      <c r="I199" s="161" t="s">
        <v>338</v>
      </c>
      <c r="J199" s="268" t="s">
        <v>339</v>
      </c>
      <c r="K199" s="34" t="s">
        <v>340</v>
      </c>
      <c r="L199" s="35"/>
      <c r="M199" s="247">
        <v>20</v>
      </c>
      <c r="N199" s="158">
        <v>21.6</v>
      </c>
      <c r="O199" s="158">
        <v>46.9</v>
      </c>
      <c r="P199" s="158"/>
      <c r="Q199" s="36" t="s">
        <v>114</v>
      </c>
      <c r="R199" s="63" t="s">
        <v>112</v>
      </c>
      <c r="S199" s="37">
        <v>0.1</v>
      </c>
      <c r="T199" s="37">
        <v>31.65</v>
      </c>
      <c r="U199" s="37">
        <v>57.6</v>
      </c>
      <c r="V199" s="37">
        <v>68.650000000000006</v>
      </c>
      <c r="W199" s="37">
        <v>48</v>
      </c>
      <c r="X199" s="37">
        <v>43.65</v>
      </c>
      <c r="Y199" s="37" t="s">
        <v>98</v>
      </c>
      <c r="Z199" s="37" t="s">
        <v>98</v>
      </c>
      <c r="AA199" s="37">
        <v>73</v>
      </c>
      <c r="AB199" s="91" t="s">
        <v>332</v>
      </c>
      <c r="AC199" s="163" t="s">
        <v>155</v>
      </c>
      <c r="AD199" s="41" t="s">
        <v>38</v>
      </c>
      <c r="AE199" s="41" t="s">
        <v>333</v>
      </c>
      <c r="AF199" s="41" t="s">
        <v>334</v>
      </c>
      <c r="AG199" s="245">
        <v>51.36</v>
      </c>
      <c r="AH199" s="246">
        <v>53.118000000000002</v>
      </c>
      <c r="AI199" s="265"/>
      <c r="AJ199" s="150"/>
      <c r="AK199" s="265"/>
      <c r="AL199" s="150"/>
      <c r="AM199" s="328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</row>
    <row r="200" spans="1:65" x14ac:dyDescent="0.2">
      <c r="A200" s="129"/>
      <c r="B200" s="33" t="str">
        <f t="shared" si="8"/>
        <v>------S</v>
      </c>
      <c r="C200" s="42"/>
      <c r="D200" s="41"/>
      <c r="E200" s="41"/>
      <c r="F200" s="41"/>
      <c r="G200" s="41"/>
      <c r="H200" s="41"/>
      <c r="I200" s="161"/>
      <c r="J200" s="268"/>
      <c r="K200" s="34"/>
      <c r="L200" s="35"/>
      <c r="M200" s="247"/>
      <c r="N200" s="158"/>
      <c r="O200" s="158"/>
      <c r="P200" s="158"/>
      <c r="Q200" s="267"/>
      <c r="R200" s="37"/>
      <c r="S200" s="39"/>
      <c r="T200" s="37"/>
      <c r="U200" s="37"/>
      <c r="V200" s="37"/>
      <c r="W200" s="37"/>
      <c r="X200" s="37"/>
      <c r="Y200" s="37"/>
      <c r="Z200" s="37"/>
      <c r="AA200" s="42"/>
      <c r="AB200" s="91"/>
      <c r="AC200" s="40"/>
      <c r="AD200" s="42"/>
      <c r="AE200" s="42"/>
      <c r="AF200" s="42"/>
      <c r="AG200" s="245"/>
      <c r="AH200" s="246"/>
      <c r="AI200" s="265"/>
      <c r="AJ200" s="150"/>
      <c r="AK200" s="265"/>
      <c r="AL200" s="150"/>
      <c r="AM200" s="328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</row>
    <row r="201" spans="1:65" x14ac:dyDescent="0.2">
      <c r="A201" s="129"/>
      <c r="B201" s="33" t="str">
        <f t="shared" si="8"/>
        <v>H325-QC-EMS-DCM-A--S</v>
      </c>
      <c r="C201" s="42" t="s">
        <v>77</v>
      </c>
      <c r="D201" s="41" t="s">
        <v>6</v>
      </c>
      <c r="E201" s="41" t="s">
        <v>5</v>
      </c>
      <c r="F201" s="41" t="s">
        <v>46</v>
      </c>
      <c r="G201" s="41" t="s">
        <v>78</v>
      </c>
      <c r="H201" s="41"/>
      <c r="I201" s="161" t="s">
        <v>341</v>
      </c>
      <c r="J201" s="268" t="s">
        <v>143</v>
      </c>
      <c r="K201" s="34" t="s">
        <v>116</v>
      </c>
      <c r="L201" s="35"/>
      <c r="M201" s="247">
        <v>20</v>
      </c>
      <c r="N201" s="158">
        <v>21.6</v>
      </c>
      <c r="O201" s="158">
        <v>42.1</v>
      </c>
      <c r="P201" s="158"/>
      <c r="Q201" s="36" t="s">
        <v>114</v>
      </c>
      <c r="R201" s="63" t="s">
        <v>112</v>
      </c>
      <c r="S201" s="37">
        <v>0.1</v>
      </c>
      <c r="T201" s="37">
        <v>31.65</v>
      </c>
      <c r="U201" s="37">
        <v>57.6</v>
      </c>
      <c r="V201" s="37">
        <v>68.650000000000006</v>
      </c>
      <c r="W201" s="37">
        <v>48</v>
      </c>
      <c r="X201" s="37">
        <v>43.65</v>
      </c>
      <c r="Y201" s="37" t="s">
        <v>98</v>
      </c>
      <c r="Z201" s="37" t="s">
        <v>98</v>
      </c>
      <c r="AA201" s="42">
        <v>73</v>
      </c>
      <c r="AB201" s="91" t="s">
        <v>332</v>
      </c>
      <c r="AC201" s="163" t="s">
        <v>155</v>
      </c>
      <c r="AD201" s="41" t="s">
        <v>38</v>
      </c>
      <c r="AE201" s="41" t="s">
        <v>333</v>
      </c>
      <c r="AF201" s="41" t="s">
        <v>334</v>
      </c>
      <c r="AG201" s="245">
        <v>52.106000000000002</v>
      </c>
      <c r="AH201" s="246">
        <v>53.134999999999998</v>
      </c>
      <c r="AI201" s="265"/>
      <c r="AJ201" s="150"/>
      <c r="AK201" s="265"/>
      <c r="AL201" s="150"/>
      <c r="AM201" s="332">
        <f>AVERAGE(AG201:AH201)</f>
        <v>52.6205</v>
      </c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</row>
    <row r="202" spans="1:65" x14ac:dyDescent="0.2">
      <c r="A202" s="129"/>
      <c r="B202" s="33" t="str">
        <f t="shared" si="8"/>
        <v>H325-QC-EMS-DCM-B--S</v>
      </c>
      <c r="C202" s="42" t="s">
        <v>77</v>
      </c>
      <c r="D202" s="68" t="s">
        <v>6</v>
      </c>
      <c r="E202" s="41" t="s">
        <v>5</v>
      </c>
      <c r="F202" s="41" t="s">
        <v>46</v>
      </c>
      <c r="G202" s="41" t="s">
        <v>79</v>
      </c>
      <c r="H202" s="41"/>
      <c r="I202" s="161" t="s">
        <v>342</v>
      </c>
      <c r="J202" s="163" t="s">
        <v>343</v>
      </c>
      <c r="K202" s="34" t="s">
        <v>184</v>
      </c>
      <c r="L202" s="35"/>
      <c r="M202" s="247">
        <v>20</v>
      </c>
      <c r="N202" s="158">
        <v>21.6</v>
      </c>
      <c r="O202" s="158"/>
      <c r="P202" s="158"/>
      <c r="Q202" s="267"/>
      <c r="R202" s="37"/>
      <c r="S202" s="39"/>
      <c r="T202" s="37"/>
      <c r="U202" s="37"/>
      <c r="V202" s="37"/>
      <c r="W202" s="37"/>
      <c r="X202" s="37"/>
      <c r="Y202" s="37"/>
      <c r="Z202" s="37"/>
      <c r="AA202" s="42"/>
      <c r="AB202" s="91"/>
      <c r="AC202" s="40"/>
      <c r="AD202" s="42"/>
      <c r="AE202" s="42"/>
      <c r="AF202" s="42"/>
      <c r="AG202" s="245">
        <v>53.393000000000001</v>
      </c>
      <c r="AH202" s="246">
        <v>54.601999999999997</v>
      </c>
      <c r="AI202" s="265"/>
      <c r="AJ202" s="150"/>
      <c r="AK202" s="265"/>
      <c r="AL202" s="150"/>
      <c r="AM202" s="332">
        <f t="shared" ref="AM202:AM234" si="9">AVERAGE(AG202:AH202)</f>
        <v>53.997500000000002</v>
      </c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</row>
    <row r="203" spans="1:65" x14ac:dyDescent="0.2">
      <c r="A203" s="129"/>
      <c r="B203" s="33" t="str">
        <f t="shared" si="8"/>
        <v>H325-QC-EMS-DCM-C--S</v>
      </c>
      <c r="C203" s="42" t="s">
        <v>77</v>
      </c>
      <c r="D203" s="68" t="s">
        <v>6</v>
      </c>
      <c r="E203" s="41" t="s">
        <v>5</v>
      </c>
      <c r="F203" s="41" t="s">
        <v>46</v>
      </c>
      <c r="G203" s="41" t="s">
        <v>82</v>
      </c>
      <c r="H203" s="41"/>
      <c r="I203" s="161" t="s">
        <v>344</v>
      </c>
      <c r="J203" s="163" t="s">
        <v>345</v>
      </c>
      <c r="K203" s="34" t="s">
        <v>346</v>
      </c>
      <c r="L203" s="35"/>
      <c r="M203" s="247">
        <v>20</v>
      </c>
      <c r="N203" s="158">
        <v>21.6</v>
      </c>
      <c r="O203" s="158">
        <v>42.1</v>
      </c>
      <c r="P203" s="158"/>
      <c r="Q203" s="267"/>
      <c r="R203" s="37"/>
      <c r="S203" s="39"/>
      <c r="T203" s="37"/>
      <c r="U203" s="37"/>
      <c r="V203" s="37"/>
      <c r="W203" s="37"/>
      <c r="X203" s="37"/>
      <c r="Y203" s="37"/>
      <c r="Z203" s="37"/>
      <c r="AA203" s="42"/>
      <c r="AB203" s="91"/>
      <c r="AC203" s="40"/>
      <c r="AD203" s="42"/>
      <c r="AE203" s="42"/>
      <c r="AF203" s="42"/>
      <c r="AG203" s="245">
        <v>51.518999999999998</v>
      </c>
      <c r="AH203" s="246">
        <v>52.725000000000001</v>
      </c>
      <c r="AI203" s="265"/>
      <c r="AJ203" s="150"/>
      <c r="AK203" s="265"/>
      <c r="AL203" s="150"/>
      <c r="AM203" s="332">
        <f t="shared" si="9"/>
        <v>52.122</v>
      </c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</row>
    <row r="204" spans="1:65" x14ac:dyDescent="0.2">
      <c r="A204" s="129"/>
      <c r="B204" s="33" t="str">
        <f t="shared" si="8"/>
        <v>H325-QC-EMS-SURF-A--S</v>
      </c>
      <c r="C204" s="42" t="s">
        <v>77</v>
      </c>
      <c r="D204" s="68" t="s">
        <v>6</v>
      </c>
      <c r="E204" s="41" t="s">
        <v>5</v>
      </c>
      <c r="F204" s="41" t="s">
        <v>45</v>
      </c>
      <c r="G204" s="41" t="s">
        <v>78</v>
      </c>
      <c r="H204" s="196"/>
      <c r="I204" s="161" t="s">
        <v>347</v>
      </c>
      <c r="J204" s="163" t="s">
        <v>144</v>
      </c>
      <c r="K204" s="34" t="s">
        <v>117</v>
      </c>
      <c r="L204" s="35"/>
      <c r="M204" s="247">
        <v>20</v>
      </c>
      <c r="N204" s="158">
        <v>21.6</v>
      </c>
      <c r="O204" s="158">
        <v>42.2</v>
      </c>
      <c r="P204" s="158"/>
      <c r="Q204" s="36" t="s">
        <v>114</v>
      </c>
      <c r="R204" s="63" t="s">
        <v>112</v>
      </c>
      <c r="S204" s="37">
        <v>0.1</v>
      </c>
      <c r="T204" s="37">
        <v>31.65</v>
      </c>
      <c r="U204" s="37">
        <v>57.6</v>
      </c>
      <c r="V204" s="37">
        <v>68.650000000000006</v>
      </c>
      <c r="W204" s="37">
        <v>48</v>
      </c>
      <c r="X204" s="37">
        <v>43.65</v>
      </c>
      <c r="Y204" s="37" t="s">
        <v>98</v>
      </c>
      <c r="Z204" s="37" t="s">
        <v>98</v>
      </c>
      <c r="AA204" s="37">
        <v>73</v>
      </c>
      <c r="AB204" s="91" t="s">
        <v>332</v>
      </c>
      <c r="AC204" s="163" t="s">
        <v>155</v>
      </c>
      <c r="AD204" s="41" t="s">
        <v>38</v>
      </c>
      <c r="AE204" s="41" t="s">
        <v>333</v>
      </c>
      <c r="AF204" s="41" t="s">
        <v>334</v>
      </c>
      <c r="AG204" s="245">
        <v>50.662999999999997</v>
      </c>
      <c r="AH204" s="246">
        <v>51.814</v>
      </c>
      <c r="AI204" s="265"/>
      <c r="AJ204" s="150"/>
      <c r="AK204" s="265"/>
      <c r="AL204" s="150"/>
      <c r="AM204" s="332">
        <f t="shared" si="9"/>
        <v>51.238500000000002</v>
      </c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</row>
    <row r="205" spans="1:65" x14ac:dyDescent="0.2">
      <c r="A205" s="129"/>
      <c r="B205" s="33" t="str">
        <f t="shared" si="8"/>
        <v>H325-QC-EMS-SURF-B--S</v>
      </c>
      <c r="C205" s="42" t="s">
        <v>77</v>
      </c>
      <c r="D205" s="68" t="s">
        <v>6</v>
      </c>
      <c r="E205" s="41" t="s">
        <v>5</v>
      </c>
      <c r="F205" s="41" t="s">
        <v>45</v>
      </c>
      <c r="G205" s="196" t="s">
        <v>79</v>
      </c>
      <c r="H205" s="41"/>
      <c r="I205" s="161" t="s">
        <v>348</v>
      </c>
      <c r="J205" s="163" t="s">
        <v>349</v>
      </c>
      <c r="K205" s="34"/>
      <c r="L205" s="35"/>
      <c r="M205" s="247"/>
      <c r="N205" s="158"/>
      <c r="O205" s="158"/>
      <c r="P205" s="158"/>
      <c r="Q205" s="267"/>
      <c r="R205" s="37"/>
      <c r="S205" s="39"/>
      <c r="T205" s="37"/>
      <c r="U205" s="37"/>
      <c r="V205" s="37"/>
      <c r="W205" s="37"/>
      <c r="X205" s="37"/>
      <c r="Y205" s="37"/>
      <c r="Z205" s="37"/>
      <c r="AA205" s="42"/>
      <c r="AB205" s="91"/>
      <c r="AC205" s="40"/>
      <c r="AD205" s="42"/>
      <c r="AE205" s="42"/>
      <c r="AF205" s="42"/>
      <c r="AG205" s="245">
        <v>51.067999999999998</v>
      </c>
      <c r="AH205" s="246">
        <v>52.274000000000001</v>
      </c>
      <c r="AI205" s="265"/>
      <c r="AJ205" s="150"/>
      <c r="AK205" s="265"/>
      <c r="AL205" s="150"/>
      <c r="AM205" s="332">
        <f t="shared" si="9"/>
        <v>51.670999999999999</v>
      </c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</row>
    <row r="206" spans="1:65" x14ac:dyDescent="0.2">
      <c r="A206" s="129"/>
      <c r="B206" s="33" t="str">
        <f t="shared" si="8"/>
        <v>H325-QC-EMS-SURF-C--S</v>
      </c>
      <c r="C206" s="42" t="s">
        <v>77</v>
      </c>
      <c r="D206" s="68" t="s">
        <v>6</v>
      </c>
      <c r="E206" s="41" t="s">
        <v>5</v>
      </c>
      <c r="F206" s="41" t="s">
        <v>45</v>
      </c>
      <c r="G206" s="41" t="s">
        <v>82</v>
      </c>
      <c r="H206" s="41"/>
      <c r="I206" s="161" t="s">
        <v>350</v>
      </c>
      <c r="J206" s="163" t="s">
        <v>351</v>
      </c>
      <c r="K206" s="34"/>
      <c r="L206" s="35"/>
      <c r="M206" s="247"/>
      <c r="N206" s="158"/>
      <c r="O206" s="158"/>
      <c r="P206" s="158"/>
      <c r="Q206" s="251"/>
      <c r="R206" s="216"/>
      <c r="S206" s="252"/>
      <c r="T206" s="252"/>
      <c r="U206" s="252"/>
      <c r="V206" s="252"/>
      <c r="W206" s="252"/>
      <c r="X206" s="252"/>
      <c r="Y206" s="252"/>
      <c r="Z206" s="252"/>
      <c r="AA206" s="37"/>
      <c r="AB206" s="91"/>
      <c r="AC206" s="163"/>
      <c r="AD206" s="41"/>
      <c r="AE206" s="41"/>
      <c r="AF206" s="41"/>
      <c r="AG206" s="245">
        <v>50.581000000000003</v>
      </c>
      <c r="AH206" s="246">
        <v>51.661000000000001</v>
      </c>
      <c r="AI206" s="265"/>
      <c r="AJ206" s="150"/>
      <c r="AK206" s="265"/>
      <c r="AL206" s="150"/>
      <c r="AM206" s="332">
        <f t="shared" si="9"/>
        <v>51.121000000000002</v>
      </c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</row>
    <row r="207" spans="1:65" x14ac:dyDescent="0.2">
      <c r="A207" s="129"/>
      <c r="B207" s="33" t="str">
        <f t="shared" si="8"/>
        <v>------S</v>
      </c>
      <c r="C207" s="42"/>
      <c r="D207" s="68"/>
      <c r="E207" s="41"/>
      <c r="F207" s="41"/>
      <c r="G207" s="196"/>
      <c r="H207" s="196"/>
      <c r="I207" s="161"/>
      <c r="J207" s="163"/>
      <c r="K207" s="34"/>
      <c r="L207" s="35"/>
      <c r="M207" s="247"/>
      <c r="N207" s="158"/>
      <c r="O207" s="158"/>
      <c r="P207" s="158"/>
      <c r="Q207" s="267"/>
      <c r="R207" s="37"/>
      <c r="S207" s="39"/>
      <c r="T207" s="37"/>
      <c r="U207" s="37"/>
      <c r="V207" s="37"/>
      <c r="W207" s="37"/>
      <c r="X207" s="37"/>
      <c r="Y207" s="37"/>
      <c r="Z207" s="37"/>
      <c r="AA207" s="42"/>
      <c r="AB207" s="91"/>
      <c r="AC207" s="40"/>
      <c r="AD207" s="42"/>
      <c r="AE207" s="42"/>
      <c r="AF207" s="42"/>
      <c r="AG207" s="245"/>
      <c r="AH207" s="246"/>
      <c r="AI207" s="265"/>
      <c r="AJ207" s="150"/>
      <c r="AK207" s="265"/>
      <c r="AL207" s="150"/>
      <c r="AM207" s="332" t="e">
        <f t="shared" si="9"/>
        <v>#DIV/0!</v>
      </c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</row>
    <row r="208" spans="1:65" x14ac:dyDescent="0.2">
      <c r="A208" s="129"/>
      <c r="B208" s="33" t="str">
        <f t="shared" si="8"/>
        <v>KM2112-2-1-16---S</v>
      </c>
      <c r="C208" s="42" t="s">
        <v>192</v>
      </c>
      <c r="D208" s="68">
        <v>2</v>
      </c>
      <c r="E208" s="68">
        <v>1</v>
      </c>
      <c r="F208" s="41" t="s">
        <v>104</v>
      </c>
      <c r="G208" s="41"/>
      <c r="H208" s="41"/>
      <c r="I208" s="161" t="s">
        <v>352</v>
      </c>
      <c r="J208" s="163" t="s">
        <v>353</v>
      </c>
      <c r="K208" s="34"/>
      <c r="L208" s="35"/>
      <c r="M208" s="247"/>
      <c r="N208" s="158"/>
      <c r="O208" s="158"/>
      <c r="P208" s="158"/>
      <c r="Q208" s="36" t="s">
        <v>114</v>
      </c>
      <c r="R208" s="63" t="s">
        <v>112</v>
      </c>
      <c r="S208" s="37">
        <v>0.1</v>
      </c>
      <c r="T208" s="37">
        <v>31.65</v>
      </c>
      <c r="U208" s="37">
        <v>57.6</v>
      </c>
      <c r="V208" s="37">
        <v>68.650000000000006</v>
      </c>
      <c r="W208" s="37">
        <v>48</v>
      </c>
      <c r="X208" s="37">
        <v>43.65</v>
      </c>
      <c r="Y208" s="37" t="s">
        <v>98</v>
      </c>
      <c r="Z208" s="37" t="s">
        <v>98</v>
      </c>
      <c r="AA208" s="37">
        <v>73</v>
      </c>
      <c r="AB208" s="91" t="s">
        <v>332</v>
      </c>
      <c r="AC208" s="163" t="s">
        <v>155</v>
      </c>
      <c r="AD208" s="41" t="s">
        <v>38</v>
      </c>
      <c r="AE208" s="41" t="s">
        <v>333</v>
      </c>
      <c r="AF208" s="41" t="s">
        <v>334</v>
      </c>
      <c r="AG208" s="245">
        <v>50.960999999999999</v>
      </c>
      <c r="AH208" s="246">
        <v>52.081000000000003</v>
      </c>
      <c r="AI208" s="265"/>
      <c r="AJ208" s="150"/>
      <c r="AK208" s="265"/>
      <c r="AL208" s="150"/>
      <c r="AM208" s="332">
        <f t="shared" si="9"/>
        <v>51.521000000000001</v>
      </c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</row>
    <row r="209" spans="1:65" x14ac:dyDescent="0.2">
      <c r="A209" s="129"/>
      <c r="B209" s="33" t="str">
        <f t="shared" si="8"/>
        <v>KM2112-2-1-13---S</v>
      </c>
      <c r="C209" s="42" t="s">
        <v>192</v>
      </c>
      <c r="D209" s="68">
        <v>2</v>
      </c>
      <c r="E209" s="68">
        <v>1</v>
      </c>
      <c r="F209" s="41" t="s">
        <v>139</v>
      </c>
      <c r="G209" s="196"/>
      <c r="H209" s="196"/>
      <c r="I209" s="161" t="s">
        <v>354</v>
      </c>
      <c r="J209" s="163" t="s">
        <v>355</v>
      </c>
      <c r="K209" s="34"/>
      <c r="L209" s="35"/>
      <c r="M209" s="247"/>
      <c r="N209" s="158"/>
      <c r="O209" s="158"/>
      <c r="P209" s="158"/>
      <c r="Q209" s="36" t="s">
        <v>114</v>
      </c>
      <c r="R209" s="63" t="s">
        <v>112</v>
      </c>
      <c r="S209" s="37">
        <v>0.1</v>
      </c>
      <c r="T209" s="37">
        <v>31.65</v>
      </c>
      <c r="U209" s="37">
        <v>57.6</v>
      </c>
      <c r="V209" s="37">
        <v>68.650000000000006</v>
      </c>
      <c r="W209" s="37">
        <v>48</v>
      </c>
      <c r="X209" s="37">
        <v>43.65</v>
      </c>
      <c r="Y209" s="37" t="s">
        <v>98</v>
      </c>
      <c r="Z209" s="37" t="s">
        <v>98</v>
      </c>
      <c r="AA209" s="37">
        <v>73</v>
      </c>
      <c r="AB209" s="91" t="s">
        <v>332</v>
      </c>
      <c r="AC209" s="163" t="s">
        <v>155</v>
      </c>
      <c r="AD209" s="41" t="s">
        <v>38</v>
      </c>
      <c r="AE209" s="41" t="s">
        <v>333</v>
      </c>
      <c r="AF209" s="41" t="s">
        <v>334</v>
      </c>
      <c r="AG209" s="245">
        <v>51.298999999999999</v>
      </c>
      <c r="AH209" s="246">
        <v>52.404000000000003</v>
      </c>
      <c r="AI209" s="265"/>
      <c r="AJ209" s="150"/>
      <c r="AK209" s="265"/>
      <c r="AL209" s="150"/>
      <c r="AM209" s="332">
        <f t="shared" si="9"/>
        <v>51.851500000000001</v>
      </c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</row>
    <row r="210" spans="1:65" x14ac:dyDescent="0.2">
      <c r="A210" s="129"/>
      <c r="B210" s="33" t="str">
        <f t="shared" si="8"/>
        <v>KM2112-2-1-10---S</v>
      </c>
      <c r="C210" s="42" t="s">
        <v>192</v>
      </c>
      <c r="D210" s="68">
        <v>2</v>
      </c>
      <c r="E210" s="68">
        <v>1</v>
      </c>
      <c r="F210" s="41" t="s">
        <v>61</v>
      </c>
      <c r="G210" s="196"/>
      <c r="H210" s="196"/>
      <c r="I210" s="161" t="s">
        <v>356</v>
      </c>
      <c r="J210" s="163" t="s">
        <v>357</v>
      </c>
      <c r="K210" s="34"/>
      <c r="L210" s="35"/>
      <c r="M210" s="247"/>
      <c r="N210" s="158"/>
      <c r="O210" s="158"/>
      <c r="P210" s="158"/>
      <c r="Q210" s="36" t="s">
        <v>114</v>
      </c>
      <c r="R210" s="63" t="s">
        <v>112</v>
      </c>
      <c r="S210" s="37">
        <v>0.1</v>
      </c>
      <c r="T210" s="37">
        <v>31.65</v>
      </c>
      <c r="U210" s="37">
        <v>57.6</v>
      </c>
      <c r="V210" s="37">
        <v>68.650000000000006</v>
      </c>
      <c r="W210" s="37">
        <v>48</v>
      </c>
      <c r="X210" s="37">
        <v>43.65</v>
      </c>
      <c r="Y210" s="37" t="s">
        <v>98</v>
      </c>
      <c r="Z210" s="37" t="s">
        <v>98</v>
      </c>
      <c r="AA210" s="37">
        <v>73</v>
      </c>
      <c r="AB210" s="91" t="s">
        <v>332</v>
      </c>
      <c r="AC210" s="163" t="s">
        <v>155</v>
      </c>
      <c r="AD210" s="41" t="s">
        <v>38</v>
      </c>
      <c r="AE210" s="41" t="s">
        <v>333</v>
      </c>
      <c r="AF210" s="41" t="s">
        <v>334</v>
      </c>
      <c r="AG210" s="245">
        <v>54.75</v>
      </c>
      <c r="AH210" s="246">
        <v>55.954999999999998</v>
      </c>
      <c r="AI210" s="265"/>
      <c r="AJ210" s="150"/>
      <c r="AK210" s="265"/>
      <c r="AL210" s="150"/>
      <c r="AM210" s="332">
        <f t="shared" si="9"/>
        <v>55.352499999999999</v>
      </c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</row>
    <row r="211" spans="1:65" x14ac:dyDescent="0.2">
      <c r="A211" s="129"/>
      <c r="B211" s="33" t="str">
        <f t="shared" si="8"/>
        <v>KM2112-2-1-7---S</v>
      </c>
      <c r="C211" s="42" t="s">
        <v>192</v>
      </c>
      <c r="D211" s="68">
        <v>2</v>
      </c>
      <c r="E211" s="68">
        <v>1</v>
      </c>
      <c r="F211" s="41" t="s">
        <v>150</v>
      </c>
      <c r="G211" s="196"/>
      <c r="H211" s="196"/>
      <c r="I211" s="161" t="s">
        <v>358</v>
      </c>
      <c r="J211" s="163" t="s">
        <v>359</v>
      </c>
      <c r="K211" s="34"/>
      <c r="L211" s="35"/>
      <c r="M211" s="247"/>
      <c r="N211" s="158"/>
      <c r="O211" s="158"/>
      <c r="P211" s="158"/>
      <c r="Q211" s="36" t="s">
        <v>114</v>
      </c>
      <c r="R211" s="63" t="s">
        <v>112</v>
      </c>
      <c r="S211" s="37">
        <v>0.1</v>
      </c>
      <c r="T211" s="37">
        <v>31.65</v>
      </c>
      <c r="U211" s="37">
        <v>57.6</v>
      </c>
      <c r="V211" s="37">
        <v>68.650000000000006</v>
      </c>
      <c r="W211" s="37">
        <v>48</v>
      </c>
      <c r="X211" s="37">
        <v>43.65</v>
      </c>
      <c r="Y211" s="37" t="s">
        <v>98</v>
      </c>
      <c r="Z211" s="37" t="s">
        <v>98</v>
      </c>
      <c r="AA211" s="37">
        <v>73</v>
      </c>
      <c r="AB211" s="91" t="s">
        <v>332</v>
      </c>
      <c r="AC211" s="163" t="s">
        <v>155</v>
      </c>
      <c r="AD211" s="41" t="s">
        <v>38</v>
      </c>
      <c r="AE211" s="41" t="s">
        <v>333</v>
      </c>
      <c r="AF211" s="41" t="s">
        <v>334</v>
      </c>
      <c r="AG211" s="245">
        <v>51.406999999999996</v>
      </c>
      <c r="AH211" s="246">
        <v>52.51</v>
      </c>
      <c r="AI211" s="265"/>
      <c r="AJ211" s="150"/>
      <c r="AK211" s="265"/>
      <c r="AL211" s="150"/>
      <c r="AM211" s="332">
        <f t="shared" si="9"/>
        <v>51.958500000000001</v>
      </c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</row>
    <row r="212" spans="1:65" ht="32" x14ac:dyDescent="0.2">
      <c r="A212" s="129"/>
      <c r="B212" s="33" t="str">
        <f t="shared" si="8"/>
        <v>KM2112-2-1-4---S</v>
      </c>
      <c r="C212" s="42" t="s">
        <v>192</v>
      </c>
      <c r="D212" s="68">
        <v>2</v>
      </c>
      <c r="E212" s="68">
        <v>1</v>
      </c>
      <c r="F212" s="41" t="s">
        <v>135</v>
      </c>
      <c r="G212" s="196"/>
      <c r="H212" s="196"/>
      <c r="I212" s="161" t="s">
        <v>372</v>
      </c>
      <c r="J212" s="163" t="s">
        <v>111</v>
      </c>
      <c r="K212" s="34"/>
      <c r="L212" s="35" t="s">
        <v>373</v>
      </c>
      <c r="M212" s="247"/>
      <c r="N212" s="158"/>
      <c r="O212" s="158"/>
      <c r="P212" s="158"/>
      <c r="Q212" s="36" t="s">
        <v>114</v>
      </c>
      <c r="R212" s="63" t="s">
        <v>112</v>
      </c>
      <c r="S212" s="37">
        <v>0.1</v>
      </c>
      <c r="T212" s="37">
        <v>31.65</v>
      </c>
      <c r="U212" s="37">
        <v>57.6</v>
      </c>
      <c r="V212" s="37">
        <v>68.650000000000006</v>
      </c>
      <c r="W212" s="37">
        <v>48</v>
      </c>
      <c r="X212" s="37">
        <v>43.65</v>
      </c>
      <c r="Y212" s="37" t="s">
        <v>98</v>
      </c>
      <c r="Z212" s="37" t="s">
        <v>98</v>
      </c>
      <c r="AA212" s="37">
        <v>73</v>
      </c>
      <c r="AB212" s="91" t="s">
        <v>332</v>
      </c>
      <c r="AC212" s="163" t="s">
        <v>155</v>
      </c>
      <c r="AD212" s="41" t="s">
        <v>38</v>
      </c>
      <c r="AE212" s="41" t="s">
        <v>333</v>
      </c>
      <c r="AF212" s="41" t="s">
        <v>334</v>
      </c>
      <c r="AG212" s="245">
        <v>49.963000000000001</v>
      </c>
      <c r="AH212" s="246">
        <v>51.085999999999999</v>
      </c>
      <c r="AI212" s="265"/>
      <c r="AJ212" s="150"/>
      <c r="AK212" s="265"/>
      <c r="AL212" s="150"/>
      <c r="AM212" s="332">
        <f t="shared" si="9"/>
        <v>50.524500000000003</v>
      </c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</row>
    <row r="213" spans="1:65" x14ac:dyDescent="0.2">
      <c r="A213" s="129"/>
      <c r="B213" s="33" t="str">
        <f t="shared" si="8"/>
        <v>KM2112-2-1-1---S</v>
      </c>
      <c r="C213" s="42" t="s">
        <v>192</v>
      </c>
      <c r="D213" s="68">
        <v>2</v>
      </c>
      <c r="E213" s="68">
        <v>1</v>
      </c>
      <c r="F213" s="41" t="s">
        <v>54</v>
      </c>
      <c r="G213" s="41"/>
      <c r="H213" s="196"/>
      <c r="I213" s="161" t="s">
        <v>379</v>
      </c>
      <c r="J213" s="163" t="s">
        <v>380</v>
      </c>
      <c r="K213" s="34"/>
      <c r="L213" s="35"/>
      <c r="M213" s="247"/>
      <c r="N213" s="158"/>
      <c r="O213" s="158"/>
      <c r="P213" s="158"/>
      <c r="Q213" s="36" t="s">
        <v>114</v>
      </c>
      <c r="R213" s="63" t="s">
        <v>112</v>
      </c>
      <c r="S213" s="37">
        <v>0.1</v>
      </c>
      <c r="T213" s="37">
        <v>31.65</v>
      </c>
      <c r="U213" s="37">
        <v>57.6</v>
      </c>
      <c r="V213" s="37">
        <v>68.650000000000006</v>
      </c>
      <c r="W213" s="37">
        <v>48</v>
      </c>
      <c r="X213" s="37">
        <v>43.65</v>
      </c>
      <c r="Y213" s="37" t="s">
        <v>98</v>
      </c>
      <c r="Z213" s="37" t="s">
        <v>98</v>
      </c>
      <c r="AA213" s="37">
        <v>73</v>
      </c>
      <c r="AB213" s="91" t="s">
        <v>332</v>
      </c>
      <c r="AC213" s="163" t="s">
        <v>155</v>
      </c>
      <c r="AD213" s="41" t="s">
        <v>38</v>
      </c>
      <c r="AE213" s="41" t="s">
        <v>333</v>
      </c>
      <c r="AF213" s="41" t="s">
        <v>334</v>
      </c>
      <c r="AG213" s="245">
        <v>49.354999999999997</v>
      </c>
      <c r="AH213" s="246">
        <v>50.448</v>
      </c>
      <c r="AI213" s="265"/>
      <c r="AJ213" s="150"/>
      <c r="AK213" s="265"/>
      <c r="AL213" s="150"/>
      <c r="AM213" s="332">
        <f t="shared" si="9"/>
        <v>49.901499999999999</v>
      </c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</row>
    <row r="214" spans="1:65" x14ac:dyDescent="0.2">
      <c r="A214" s="129"/>
      <c r="B214" s="33" t="str">
        <f t="shared" si="8"/>
        <v>------S</v>
      </c>
      <c r="C214" s="42"/>
      <c r="D214" s="68"/>
      <c r="E214" s="68"/>
      <c r="F214" s="41"/>
      <c r="G214" s="41"/>
      <c r="H214" s="196"/>
      <c r="I214" s="161"/>
      <c r="J214" s="163"/>
      <c r="K214" s="34"/>
      <c r="L214" s="35"/>
      <c r="M214" s="247"/>
      <c r="N214" s="158"/>
      <c r="O214" s="158"/>
      <c r="P214" s="158"/>
      <c r="Q214" s="251"/>
      <c r="R214" s="216"/>
      <c r="S214" s="252"/>
      <c r="T214" s="252"/>
      <c r="U214" s="252"/>
      <c r="V214" s="252"/>
      <c r="W214" s="252"/>
      <c r="X214" s="252"/>
      <c r="Y214" s="252"/>
      <c r="Z214" s="252"/>
      <c r="AA214" s="37"/>
      <c r="AB214" s="91"/>
      <c r="AC214" s="163"/>
      <c r="AD214" s="41"/>
      <c r="AE214" s="41"/>
      <c r="AF214" s="41"/>
      <c r="AG214" s="245"/>
      <c r="AH214" s="246"/>
      <c r="AI214" s="265"/>
      <c r="AJ214" s="150"/>
      <c r="AK214" s="265"/>
      <c r="AL214" s="150"/>
      <c r="AM214" s="332" t="e">
        <f t="shared" si="9"/>
        <v>#DIV/0!</v>
      </c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</row>
    <row r="215" spans="1:65" x14ac:dyDescent="0.2">
      <c r="A215" s="129"/>
      <c r="B215" s="33" t="str">
        <f t="shared" si="8"/>
        <v>KM2112-2-24-16---S</v>
      </c>
      <c r="C215" s="42" t="s">
        <v>192</v>
      </c>
      <c r="D215" s="68">
        <v>2</v>
      </c>
      <c r="E215" s="68">
        <v>24</v>
      </c>
      <c r="F215" s="41" t="s">
        <v>104</v>
      </c>
      <c r="G215" s="41"/>
      <c r="H215" s="196"/>
      <c r="I215" s="161" t="s">
        <v>360</v>
      </c>
      <c r="J215" s="163" t="s">
        <v>361</v>
      </c>
      <c r="K215" s="34"/>
      <c r="L215" s="35"/>
      <c r="M215" s="247"/>
      <c r="N215" s="158"/>
      <c r="O215" s="158"/>
      <c r="P215" s="158"/>
      <c r="Q215" s="36" t="s">
        <v>114</v>
      </c>
      <c r="R215" s="63" t="s">
        <v>112</v>
      </c>
      <c r="S215" s="37">
        <v>0.1</v>
      </c>
      <c r="T215" s="37">
        <v>31.65</v>
      </c>
      <c r="U215" s="37">
        <v>57.6</v>
      </c>
      <c r="V215" s="37">
        <v>68.650000000000006</v>
      </c>
      <c r="W215" s="37">
        <v>48</v>
      </c>
      <c r="X215" s="37">
        <v>43.65</v>
      </c>
      <c r="Y215" s="37" t="s">
        <v>98</v>
      </c>
      <c r="Z215" s="37" t="s">
        <v>98</v>
      </c>
      <c r="AA215" s="37">
        <v>73</v>
      </c>
      <c r="AB215" s="91" t="s">
        <v>332</v>
      </c>
      <c r="AC215" s="163" t="s">
        <v>155</v>
      </c>
      <c r="AD215" s="41" t="s">
        <v>38</v>
      </c>
      <c r="AE215" s="41" t="s">
        <v>333</v>
      </c>
      <c r="AF215" s="41" t="s">
        <v>334</v>
      </c>
      <c r="AG215" s="245">
        <v>53.066000000000003</v>
      </c>
      <c r="AH215" s="246">
        <v>54.249000000000002</v>
      </c>
      <c r="AI215" s="265"/>
      <c r="AJ215" s="150"/>
      <c r="AK215" s="265"/>
      <c r="AL215" s="150"/>
      <c r="AM215" s="332">
        <f t="shared" si="9"/>
        <v>53.657499999999999</v>
      </c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</row>
    <row r="216" spans="1:65" x14ac:dyDescent="0.2">
      <c r="A216" s="129"/>
      <c r="B216" s="33" t="str">
        <f t="shared" si="8"/>
        <v>KM2112-2-24-13---S</v>
      </c>
      <c r="C216" s="42" t="s">
        <v>192</v>
      </c>
      <c r="D216" s="68">
        <v>2</v>
      </c>
      <c r="E216" s="68">
        <v>24</v>
      </c>
      <c r="F216" s="41" t="s">
        <v>139</v>
      </c>
      <c r="G216" s="41"/>
      <c r="H216" s="196"/>
      <c r="I216" s="161" t="s">
        <v>362</v>
      </c>
      <c r="J216" s="163" t="s">
        <v>363</v>
      </c>
      <c r="K216" s="34"/>
      <c r="L216" s="35"/>
      <c r="M216" s="247"/>
      <c r="N216" s="158"/>
      <c r="O216" s="158"/>
      <c r="P216" s="158"/>
      <c r="Q216" s="36" t="s">
        <v>114</v>
      </c>
      <c r="R216" s="63" t="s">
        <v>112</v>
      </c>
      <c r="S216" s="37">
        <v>0.1</v>
      </c>
      <c r="T216" s="37">
        <v>31.65</v>
      </c>
      <c r="U216" s="37">
        <v>57.6</v>
      </c>
      <c r="V216" s="37">
        <v>68.650000000000006</v>
      </c>
      <c r="W216" s="37">
        <v>48</v>
      </c>
      <c r="X216" s="37">
        <v>43.65</v>
      </c>
      <c r="Y216" s="37" t="s">
        <v>98</v>
      </c>
      <c r="Z216" s="37" t="s">
        <v>98</v>
      </c>
      <c r="AA216" s="37">
        <v>73</v>
      </c>
      <c r="AB216" s="91" t="s">
        <v>332</v>
      </c>
      <c r="AC216" s="163" t="s">
        <v>155</v>
      </c>
      <c r="AD216" s="41" t="s">
        <v>38</v>
      </c>
      <c r="AE216" s="41" t="s">
        <v>333</v>
      </c>
      <c r="AF216" s="41" t="s">
        <v>334</v>
      </c>
      <c r="AG216" s="245">
        <v>49.478999999999999</v>
      </c>
      <c r="AH216" s="246">
        <v>50.555999999999997</v>
      </c>
      <c r="AI216" s="265"/>
      <c r="AJ216" s="150"/>
      <c r="AK216" s="265"/>
      <c r="AL216" s="150"/>
      <c r="AM216" s="332">
        <f t="shared" si="9"/>
        <v>50.017499999999998</v>
      </c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</row>
    <row r="217" spans="1:65" x14ac:dyDescent="0.2">
      <c r="A217" s="129"/>
      <c r="B217" s="33" t="str">
        <f t="shared" si="8"/>
        <v>KM2112-2-24-10---S</v>
      </c>
      <c r="C217" s="42" t="s">
        <v>192</v>
      </c>
      <c r="D217" s="68">
        <v>2</v>
      </c>
      <c r="E217" s="68">
        <v>24</v>
      </c>
      <c r="F217" s="41" t="s">
        <v>61</v>
      </c>
      <c r="G217" s="196"/>
      <c r="H217" s="196"/>
      <c r="I217" s="161" t="s">
        <v>364</v>
      </c>
      <c r="J217" s="163" t="s">
        <v>365</v>
      </c>
      <c r="K217" s="34"/>
      <c r="L217" s="35"/>
      <c r="M217" s="247"/>
      <c r="N217" s="158"/>
      <c r="O217" s="158"/>
      <c r="P217" s="158"/>
      <c r="Q217" s="36" t="s">
        <v>114</v>
      </c>
      <c r="R217" s="63" t="s">
        <v>112</v>
      </c>
      <c r="S217" s="37">
        <v>0.1</v>
      </c>
      <c r="T217" s="37">
        <v>31.65</v>
      </c>
      <c r="U217" s="37">
        <v>57.6</v>
      </c>
      <c r="V217" s="37">
        <v>68.650000000000006</v>
      </c>
      <c r="W217" s="37">
        <v>48</v>
      </c>
      <c r="X217" s="37">
        <v>43.65</v>
      </c>
      <c r="Y217" s="37" t="s">
        <v>98</v>
      </c>
      <c r="Z217" s="37" t="s">
        <v>98</v>
      </c>
      <c r="AA217" s="37">
        <v>73</v>
      </c>
      <c r="AB217" s="91" t="s">
        <v>332</v>
      </c>
      <c r="AC217" s="163" t="s">
        <v>155</v>
      </c>
      <c r="AD217" s="41" t="s">
        <v>38</v>
      </c>
      <c r="AE217" s="41" t="s">
        <v>333</v>
      </c>
      <c r="AF217" s="41" t="s">
        <v>334</v>
      </c>
      <c r="AG217" s="245">
        <v>49.838999999999999</v>
      </c>
      <c r="AH217" s="246">
        <v>50.957999999999998</v>
      </c>
      <c r="AI217" s="265"/>
      <c r="AJ217" s="150"/>
      <c r="AK217" s="265"/>
      <c r="AL217" s="150"/>
      <c r="AM217" s="332">
        <f t="shared" si="9"/>
        <v>50.398499999999999</v>
      </c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</row>
    <row r="218" spans="1:65" x14ac:dyDescent="0.2">
      <c r="A218" s="129"/>
      <c r="B218" s="33" t="str">
        <f t="shared" si="8"/>
        <v>KM2112-2-24-7---S</v>
      </c>
      <c r="C218" s="42" t="s">
        <v>192</v>
      </c>
      <c r="D218" s="68">
        <v>2</v>
      </c>
      <c r="E218" s="68">
        <v>24</v>
      </c>
      <c r="F218" s="41" t="s">
        <v>150</v>
      </c>
      <c r="G218" s="41"/>
      <c r="H218" s="196"/>
      <c r="I218" s="161" t="s">
        <v>366</v>
      </c>
      <c r="J218" s="163" t="s">
        <v>367</v>
      </c>
      <c r="K218" s="34"/>
      <c r="L218" s="35"/>
      <c r="M218" s="247"/>
      <c r="N218" s="158"/>
      <c r="O218" s="158"/>
      <c r="P218" s="158"/>
      <c r="Q218" s="36" t="s">
        <v>114</v>
      </c>
      <c r="R218" s="63" t="s">
        <v>112</v>
      </c>
      <c r="S218" s="37">
        <v>0.1</v>
      </c>
      <c r="T218" s="37">
        <v>31.65</v>
      </c>
      <c r="U218" s="37">
        <v>57.6</v>
      </c>
      <c r="V218" s="37">
        <v>68.650000000000006</v>
      </c>
      <c r="W218" s="37">
        <v>48</v>
      </c>
      <c r="X218" s="37">
        <v>43.65</v>
      </c>
      <c r="Y218" s="37" t="s">
        <v>98</v>
      </c>
      <c r="Z218" s="37" t="s">
        <v>98</v>
      </c>
      <c r="AA218" s="37">
        <v>73</v>
      </c>
      <c r="AB218" s="91" t="s">
        <v>332</v>
      </c>
      <c r="AC218" s="163" t="s">
        <v>155</v>
      </c>
      <c r="AD218" s="41" t="s">
        <v>38</v>
      </c>
      <c r="AE218" s="41" t="s">
        <v>333</v>
      </c>
      <c r="AF218" s="41" t="s">
        <v>334</v>
      </c>
      <c r="AG218" s="245">
        <v>49.122</v>
      </c>
      <c r="AH218" s="246">
        <v>50.186999999999998</v>
      </c>
      <c r="AI218" s="265"/>
      <c r="AJ218" s="150"/>
      <c r="AK218" s="265"/>
      <c r="AL218" s="150"/>
      <c r="AM218" s="332">
        <f t="shared" si="9"/>
        <v>49.654499999999999</v>
      </c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</row>
    <row r="219" spans="1:65" x14ac:dyDescent="0.2">
      <c r="A219" s="129"/>
      <c r="B219" s="33" t="str">
        <f t="shared" si="8"/>
        <v>KM2112-2-24-4---S</v>
      </c>
      <c r="C219" s="42" t="s">
        <v>192</v>
      </c>
      <c r="D219" s="68">
        <v>2</v>
      </c>
      <c r="E219" s="68">
        <v>24</v>
      </c>
      <c r="F219" s="41" t="s">
        <v>135</v>
      </c>
      <c r="G219" s="41"/>
      <c r="H219" s="196"/>
      <c r="I219" s="161" t="s">
        <v>374</v>
      </c>
      <c r="J219" s="163" t="s">
        <v>375</v>
      </c>
      <c r="K219" s="34"/>
      <c r="L219" s="35"/>
      <c r="M219" s="247"/>
      <c r="N219" s="158"/>
      <c r="O219" s="158"/>
      <c r="P219" s="158"/>
      <c r="Q219" s="36" t="s">
        <v>114</v>
      </c>
      <c r="R219" s="63" t="s">
        <v>112</v>
      </c>
      <c r="S219" s="37">
        <v>0.1</v>
      </c>
      <c r="T219" s="37">
        <v>31.65</v>
      </c>
      <c r="U219" s="37">
        <v>57.6</v>
      </c>
      <c r="V219" s="37">
        <v>68.650000000000006</v>
      </c>
      <c r="W219" s="37">
        <v>48</v>
      </c>
      <c r="X219" s="37">
        <v>43.65</v>
      </c>
      <c r="Y219" s="37" t="s">
        <v>98</v>
      </c>
      <c r="Z219" s="37" t="s">
        <v>98</v>
      </c>
      <c r="AA219" s="37">
        <v>73</v>
      </c>
      <c r="AB219" s="91" t="s">
        <v>332</v>
      </c>
      <c r="AC219" s="163" t="s">
        <v>155</v>
      </c>
      <c r="AD219" s="41" t="s">
        <v>38</v>
      </c>
      <c r="AE219" s="41" t="s">
        <v>333</v>
      </c>
      <c r="AF219" s="41" t="s">
        <v>334</v>
      </c>
      <c r="AG219" s="245">
        <v>50.784999999999997</v>
      </c>
      <c r="AH219" s="246">
        <v>51.887</v>
      </c>
      <c r="AI219" s="265"/>
      <c r="AJ219" s="150"/>
      <c r="AK219" s="265"/>
      <c r="AL219" s="150"/>
      <c r="AM219" s="332">
        <f t="shared" si="9"/>
        <v>51.335999999999999</v>
      </c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</row>
    <row r="220" spans="1:65" x14ac:dyDescent="0.2">
      <c r="A220" s="129"/>
      <c r="B220" s="33" t="str">
        <f t="shared" si="8"/>
        <v>KM2112-2-24-1---S</v>
      </c>
      <c r="C220" s="42" t="s">
        <v>192</v>
      </c>
      <c r="D220" s="68">
        <v>2</v>
      </c>
      <c r="E220" s="68">
        <v>24</v>
      </c>
      <c r="F220" s="41" t="s">
        <v>54</v>
      </c>
      <c r="G220" s="41"/>
      <c r="H220" s="196"/>
      <c r="I220" s="161" t="s">
        <v>381</v>
      </c>
      <c r="J220" s="163" t="s">
        <v>147</v>
      </c>
      <c r="K220" s="34"/>
      <c r="L220" s="35"/>
      <c r="M220" s="247"/>
      <c r="N220" s="158"/>
      <c r="O220" s="158"/>
      <c r="P220" s="158"/>
      <c r="Q220" s="36" t="s">
        <v>114</v>
      </c>
      <c r="R220" s="63" t="s">
        <v>112</v>
      </c>
      <c r="S220" s="37">
        <v>0.1</v>
      </c>
      <c r="T220" s="37">
        <v>31.65</v>
      </c>
      <c r="U220" s="37">
        <v>57.6</v>
      </c>
      <c r="V220" s="37">
        <v>68.650000000000006</v>
      </c>
      <c r="W220" s="37">
        <v>48</v>
      </c>
      <c r="X220" s="37">
        <v>43.65</v>
      </c>
      <c r="Y220" s="37" t="s">
        <v>98</v>
      </c>
      <c r="Z220" s="37" t="s">
        <v>98</v>
      </c>
      <c r="AA220" s="37">
        <v>73</v>
      </c>
      <c r="AB220" s="91" t="s">
        <v>332</v>
      </c>
      <c r="AC220" s="163" t="s">
        <v>155</v>
      </c>
      <c r="AD220" s="41" t="s">
        <v>38</v>
      </c>
      <c r="AE220" s="41" t="s">
        <v>333</v>
      </c>
      <c r="AF220" s="41" t="s">
        <v>334</v>
      </c>
      <c r="AG220" s="245">
        <v>50.116</v>
      </c>
      <c r="AH220" s="246">
        <v>51.22</v>
      </c>
      <c r="AI220" s="265"/>
      <c r="AJ220" s="150"/>
      <c r="AK220" s="265"/>
      <c r="AL220" s="150"/>
      <c r="AM220" s="332">
        <f t="shared" si="9"/>
        <v>50.667999999999999</v>
      </c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</row>
    <row r="221" spans="1:65" x14ac:dyDescent="0.2">
      <c r="A221" s="129"/>
      <c r="B221" s="33" t="str">
        <f t="shared" si="8"/>
        <v>------S</v>
      </c>
      <c r="C221" s="42"/>
      <c r="D221" s="68"/>
      <c r="E221" s="68"/>
      <c r="F221" s="41"/>
      <c r="G221" s="41"/>
      <c r="H221" s="196"/>
      <c r="I221" s="161"/>
      <c r="J221" s="163"/>
      <c r="K221" s="34"/>
      <c r="L221" s="35"/>
      <c r="M221" s="247"/>
      <c r="N221" s="158"/>
      <c r="O221" s="158"/>
      <c r="P221" s="158"/>
      <c r="Q221" s="267"/>
      <c r="R221" s="37"/>
      <c r="S221" s="39"/>
      <c r="T221" s="37"/>
      <c r="U221" s="37"/>
      <c r="V221" s="37"/>
      <c r="W221" s="37"/>
      <c r="X221" s="37"/>
      <c r="Y221" s="37"/>
      <c r="Z221" s="37"/>
      <c r="AA221" s="42"/>
      <c r="AB221" s="91"/>
      <c r="AC221" s="40"/>
      <c r="AD221" s="42"/>
      <c r="AE221" s="42"/>
      <c r="AF221" s="42"/>
      <c r="AG221" s="245"/>
      <c r="AH221" s="246"/>
      <c r="AI221" s="265"/>
      <c r="AJ221" s="150"/>
      <c r="AK221" s="265"/>
      <c r="AL221" s="150"/>
      <c r="AM221" s="332" t="e">
        <f t="shared" si="9"/>
        <v>#DIV/0!</v>
      </c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</row>
    <row r="222" spans="1:65" x14ac:dyDescent="0.2">
      <c r="A222" s="129"/>
      <c r="B222" s="33" t="str">
        <f t="shared" si="8"/>
        <v>KM2112-2-38-17---S</v>
      </c>
      <c r="C222" s="42" t="s">
        <v>192</v>
      </c>
      <c r="D222" s="68">
        <v>2</v>
      </c>
      <c r="E222" s="68">
        <v>38</v>
      </c>
      <c r="F222" s="41" t="s">
        <v>138</v>
      </c>
      <c r="G222" s="196"/>
      <c r="H222" s="196"/>
      <c r="I222" s="161" t="s">
        <v>368</v>
      </c>
      <c r="J222" s="163" t="s">
        <v>183</v>
      </c>
      <c r="K222" s="34"/>
      <c r="L222" s="35"/>
      <c r="M222" s="247"/>
      <c r="N222" s="158"/>
      <c r="O222" s="158"/>
      <c r="P222" s="158"/>
      <c r="Q222" s="36" t="s">
        <v>114</v>
      </c>
      <c r="R222" s="63" t="s">
        <v>112</v>
      </c>
      <c r="S222" s="37">
        <v>0.1</v>
      </c>
      <c r="T222" s="37">
        <v>31.65</v>
      </c>
      <c r="U222" s="37">
        <v>57.6</v>
      </c>
      <c r="V222" s="37">
        <v>68.650000000000006</v>
      </c>
      <c r="W222" s="37">
        <v>48</v>
      </c>
      <c r="X222" s="37">
        <v>43.65</v>
      </c>
      <c r="Y222" s="37" t="s">
        <v>98</v>
      </c>
      <c r="Z222" s="37" t="s">
        <v>98</v>
      </c>
      <c r="AA222" s="37">
        <v>73</v>
      </c>
      <c r="AB222" s="91" t="s">
        <v>332</v>
      </c>
      <c r="AC222" s="163" t="s">
        <v>155</v>
      </c>
      <c r="AD222" s="41" t="s">
        <v>38</v>
      </c>
      <c r="AE222" s="41" t="s">
        <v>333</v>
      </c>
      <c r="AF222" s="41" t="s">
        <v>334</v>
      </c>
      <c r="AG222" s="245">
        <v>54.241999999999997</v>
      </c>
      <c r="AH222" s="246">
        <v>55.448</v>
      </c>
      <c r="AI222" s="265"/>
      <c r="AJ222" s="150"/>
      <c r="AK222" s="265"/>
      <c r="AL222" s="150"/>
      <c r="AM222" s="332">
        <f t="shared" si="9"/>
        <v>54.844999999999999</v>
      </c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</row>
    <row r="223" spans="1:65" x14ac:dyDescent="0.2">
      <c r="A223" s="129"/>
      <c r="B223" s="33" t="str">
        <f t="shared" si="8"/>
        <v>KM2112-2-38-14---S</v>
      </c>
      <c r="C223" s="42" t="s">
        <v>192</v>
      </c>
      <c r="D223" s="68">
        <v>2</v>
      </c>
      <c r="E223" s="68">
        <v>38</v>
      </c>
      <c r="F223" s="41" t="s">
        <v>105</v>
      </c>
      <c r="G223" s="196"/>
      <c r="H223" s="196"/>
      <c r="I223" s="161" t="s">
        <v>369</v>
      </c>
      <c r="J223" s="163" t="s">
        <v>109</v>
      </c>
      <c r="K223" s="34"/>
      <c r="L223" s="35"/>
      <c r="M223" s="247"/>
      <c r="N223" s="158"/>
      <c r="O223" s="158"/>
      <c r="P223" s="158"/>
      <c r="Q223" s="36" t="s">
        <v>114</v>
      </c>
      <c r="R223" s="63" t="s">
        <v>112</v>
      </c>
      <c r="S223" s="37">
        <v>0.1</v>
      </c>
      <c r="T223" s="37">
        <v>31.65</v>
      </c>
      <c r="U223" s="37">
        <v>57.6</v>
      </c>
      <c r="V223" s="37">
        <v>68.650000000000006</v>
      </c>
      <c r="W223" s="37">
        <v>48</v>
      </c>
      <c r="X223" s="37">
        <v>43.65</v>
      </c>
      <c r="Y223" s="37" t="s">
        <v>98</v>
      </c>
      <c r="Z223" s="37" t="s">
        <v>98</v>
      </c>
      <c r="AA223" s="37">
        <v>73</v>
      </c>
      <c r="AB223" s="91" t="s">
        <v>332</v>
      </c>
      <c r="AC223" s="163" t="s">
        <v>155</v>
      </c>
      <c r="AD223" s="41" t="s">
        <v>38</v>
      </c>
      <c r="AE223" s="41" t="s">
        <v>333</v>
      </c>
      <c r="AF223" s="41" t="s">
        <v>334</v>
      </c>
      <c r="AG223" s="245">
        <v>52.359000000000002</v>
      </c>
      <c r="AH223" s="246">
        <v>53.517000000000003</v>
      </c>
      <c r="AI223" s="265"/>
      <c r="AJ223" s="150"/>
      <c r="AK223" s="265"/>
      <c r="AL223" s="150"/>
      <c r="AM223" s="332">
        <f t="shared" si="9"/>
        <v>52.938000000000002</v>
      </c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</row>
    <row r="224" spans="1:65" x14ac:dyDescent="0.2">
      <c r="A224" s="129"/>
      <c r="B224" s="33" t="str">
        <f t="shared" si="8"/>
        <v>KM2112-2-38-11---S</v>
      </c>
      <c r="C224" s="42" t="s">
        <v>192</v>
      </c>
      <c r="D224" s="68">
        <v>2</v>
      </c>
      <c r="E224" s="68">
        <v>38</v>
      </c>
      <c r="F224" s="41" t="s">
        <v>129</v>
      </c>
      <c r="G224" s="41"/>
      <c r="H224" s="196"/>
      <c r="I224" s="161" t="s">
        <v>370</v>
      </c>
      <c r="J224" s="163" t="s">
        <v>146</v>
      </c>
      <c r="K224" s="34"/>
      <c r="L224" s="35"/>
      <c r="M224" s="247"/>
      <c r="N224" s="158"/>
      <c r="O224" s="158"/>
      <c r="P224" s="158"/>
      <c r="Q224" s="36" t="s">
        <v>114</v>
      </c>
      <c r="R224" s="63" t="s">
        <v>112</v>
      </c>
      <c r="S224" s="37">
        <v>0.1</v>
      </c>
      <c r="T224" s="37">
        <v>31.65</v>
      </c>
      <c r="U224" s="37">
        <v>57.6</v>
      </c>
      <c r="V224" s="37">
        <v>68.650000000000006</v>
      </c>
      <c r="W224" s="37">
        <v>48</v>
      </c>
      <c r="X224" s="37">
        <v>43.65</v>
      </c>
      <c r="Y224" s="37" t="s">
        <v>98</v>
      </c>
      <c r="Z224" s="37" t="s">
        <v>98</v>
      </c>
      <c r="AA224" s="37">
        <v>73</v>
      </c>
      <c r="AB224" s="91" t="s">
        <v>332</v>
      </c>
      <c r="AC224" s="163" t="s">
        <v>155</v>
      </c>
      <c r="AD224" s="41" t="s">
        <v>38</v>
      </c>
      <c r="AE224" s="41" t="s">
        <v>333</v>
      </c>
      <c r="AF224" s="41" t="s">
        <v>334</v>
      </c>
      <c r="AG224" s="245">
        <v>50.784999999999997</v>
      </c>
      <c r="AH224" s="246">
        <v>51.933</v>
      </c>
      <c r="AI224" s="265"/>
      <c r="AJ224" s="150"/>
      <c r="AK224" s="265"/>
      <c r="AL224" s="150"/>
      <c r="AM224" s="332">
        <f t="shared" si="9"/>
        <v>51.358999999999995</v>
      </c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</row>
    <row r="225" spans="1:65" x14ac:dyDescent="0.2">
      <c r="A225" s="129"/>
      <c r="B225" s="33" t="str">
        <f t="shared" si="8"/>
        <v>KM2112-2-38-7---S</v>
      </c>
      <c r="C225" s="42" t="s">
        <v>192</v>
      </c>
      <c r="D225" s="68">
        <v>2</v>
      </c>
      <c r="E225" s="68">
        <v>38</v>
      </c>
      <c r="F225" s="41" t="s">
        <v>150</v>
      </c>
      <c r="G225" s="41"/>
      <c r="H225" s="196"/>
      <c r="I225" s="161" t="s">
        <v>371</v>
      </c>
      <c r="J225" s="163" t="s">
        <v>377</v>
      </c>
      <c r="K225" s="34"/>
      <c r="L225" s="35"/>
      <c r="M225" s="247"/>
      <c r="N225" s="158"/>
      <c r="O225" s="158"/>
      <c r="P225" s="158"/>
      <c r="Q225" s="36" t="s">
        <v>114</v>
      </c>
      <c r="R225" s="63" t="s">
        <v>112</v>
      </c>
      <c r="S225" s="37">
        <v>0.1</v>
      </c>
      <c r="T225" s="37">
        <v>31.65</v>
      </c>
      <c r="U225" s="37">
        <v>57.6</v>
      </c>
      <c r="V225" s="37">
        <v>68.650000000000006</v>
      </c>
      <c r="W225" s="37">
        <v>48</v>
      </c>
      <c r="X225" s="37">
        <v>43.65</v>
      </c>
      <c r="Y225" s="37" t="s">
        <v>98</v>
      </c>
      <c r="Z225" s="37" t="s">
        <v>98</v>
      </c>
      <c r="AA225" s="37">
        <v>73</v>
      </c>
      <c r="AB225" s="91" t="s">
        <v>332</v>
      </c>
      <c r="AC225" s="163" t="s">
        <v>155</v>
      </c>
      <c r="AD225" s="41" t="s">
        <v>38</v>
      </c>
      <c r="AE225" s="41" t="s">
        <v>333</v>
      </c>
      <c r="AF225" s="41" t="s">
        <v>334</v>
      </c>
      <c r="AG225" s="245">
        <v>50.505000000000003</v>
      </c>
      <c r="AH225" s="246">
        <v>51.651000000000003</v>
      </c>
      <c r="AI225" s="265"/>
      <c r="AJ225" s="150"/>
      <c r="AK225" s="265"/>
      <c r="AL225" s="150"/>
      <c r="AM225" s="332">
        <f t="shared" si="9"/>
        <v>51.078000000000003</v>
      </c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</row>
    <row r="226" spans="1:65" x14ac:dyDescent="0.2">
      <c r="A226" s="129"/>
      <c r="B226" s="33" t="str">
        <f t="shared" si="8"/>
        <v>KM2112-2-38-4---S</v>
      </c>
      <c r="C226" s="42" t="s">
        <v>192</v>
      </c>
      <c r="D226" s="68">
        <v>2</v>
      </c>
      <c r="E226" s="68">
        <v>38</v>
      </c>
      <c r="F226" s="41" t="s">
        <v>135</v>
      </c>
      <c r="G226" s="46"/>
      <c r="H226" s="196"/>
      <c r="I226" s="161" t="s">
        <v>376</v>
      </c>
      <c r="J226" s="163" t="s">
        <v>378</v>
      </c>
      <c r="K226" s="34"/>
      <c r="L226" s="35"/>
      <c r="M226" s="247"/>
      <c r="N226" s="158"/>
      <c r="O226" s="158"/>
      <c r="P226" s="158"/>
      <c r="Q226" s="36" t="s">
        <v>114</v>
      </c>
      <c r="R226" s="63" t="s">
        <v>112</v>
      </c>
      <c r="S226" s="37">
        <v>0.1</v>
      </c>
      <c r="T226" s="37">
        <v>31.65</v>
      </c>
      <c r="U226" s="37">
        <v>57.6</v>
      </c>
      <c r="V226" s="37">
        <v>68.650000000000006</v>
      </c>
      <c r="W226" s="37">
        <v>48</v>
      </c>
      <c r="X226" s="37">
        <v>43.65</v>
      </c>
      <c r="Y226" s="37" t="s">
        <v>98</v>
      </c>
      <c r="Z226" s="37" t="s">
        <v>98</v>
      </c>
      <c r="AA226" s="37">
        <v>73</v>
      </c>
      <c r="AB226" s="91" t="s">
        <v>332</v>
      </c>
      <c r="AC226" s="163" t="s">
        <v>155</v>
      </c>
      <c r="AD226" s="41" t="s">
        <v>38</v>
      </c>
      <c r="AE226" s="41" t="s">
        <v>333</v>
      </c>
      <c r="AF226" s="41" t="s">
        <v>334</v>
      </c>
      <c r="AG226" s="245">
        <v>50.707999999999998</v>
      </c>
      <c r="AH226" s="246">
        <v>51.832999999999998</v>
      </c>
      <c r="AI226" s="265"/>
      <c r="AJ226" s="150"/>
      <c r="AK226" s="265"/>
      <c r="AL226" s="150"/>
      <c r="AM226" s="332">
        <f t="shared" si="9"/>
        <v>51.270499999999998</v>
      </c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</row>
    <row r="227" spans="1:65" x14ac:dyDescent="0.2">
      <c r="A227" s="129"/>
      <c r="B227" s="33" t="str">
        <f t="shared" si="8"/>
        <v>KM2112-2-38-1---S</v>
      </c>
      <c r="C227" s="42" t="s">
        <v>192</v>
      </c>
      <c r="D227" s="68">
        <v>2</v>
      </c>
      <c r="E227" s="68">
        <v>38</v>
      </c>
      <c r="F227" s="41" t="s">
        <v>54</v>
      </c>
      <c r="G227" s="41"/>
      <c r="H227" s="196"/>
      <c r="I227" s="161" t="s">
        <v>382</v>
      </c>
      <c r="J227" s="163" t="s">
        <v>384</v>
      </c>
      <c r="K227" s="34"/>
      <c r="L227" s="35"/>
      <c r="M227" s="247"/>
      <c r="N227" s="158"/>
      <c r="O227" s="158"/>
      <c r="P227" s="158"/>
      <c r="Q227" s="36" t="s">
        <v>114</v>
      </c>
      <c r="R227" s="63" t="s">
        <v>112</v>
      </c>
      <c r="S227" s="37">
        <v>0.1</v>
      </c>
      <c r="T227" s="37">
        <v>31.65</v>
      </c>
      <c r="U227" s="37">
        <v>57.6</v>
      </c>
      <c r="V227" s="37">
        <v>68.650000000000006</v>
      </c>
      <c r="W227" s="37">
        <v>48</v>
      </c>
      <c r="X227" s="37">
        <v>43.65</v>
      </c>
      <c r="Y227" s="37" t="s">
        <v>98</v>
      </c>
      <c r="Z227" s="37" t="s">
        <v>98</v>
      </c>
      <c r="AA227" s="37">
        <v>73</v>
      </c>
      <c r="AB227" s="91" t="s">
        <v>332</v>
      </c>
      <c r="AC227" s="163" t="s">
        <v>155</v>
      </c>
      <c r="AD227" s="41" t="s">
        <v>38</v>
      </c>
      <c r="AE227" s="41" t="s">
        <v>333</v>
      </c>
      <c r="AF227" s="41" t="s">
        <v>334</v>
      </c>
      <c r="AG227" s="245">
        <v>49.444000000000003</v>
      </c>
      <c r="AH227" s="246">
        <v>50.55</v>
      </c>
      <c r="AI227" s="265"/>
      <c r="AJ227" s="150"/>
      <c r="AK227" s="265"/>
      <c r="AL227" s="150"/>
      <c r="AM227" s="332">
        <f t="shared" si="9"/>
        <v>49.997</v>
      </c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</row>
    <row r="228" spans="1:65" x14ac:dyDescent="0.2">
      <c r="A228" s="129"/>
      <c r="B228" s="33" t="str">
        <f t="shared" si="8"/>
        <v>------S</v>
      </c>
      <c r="C228" s="42"/>
      <c r="D228" s="68"/>
      <c r="E228" s="68"/>
      <c r="F228" s="41"/>
      <c r="G228" s="196"/>
      <c r="H228" s="196"/>
      <c r="I228" s="161"/>
      <c r="J228" s="163"/>
      <c r="K228" s="34"/>
      <c r="L228" s="35"/>
      <c r="M228" s="247"/>
      <c r="N228" s="158"/>
      <c r="O228" s="158"/>
      <c r="P228" s="158"/>
      <c r="Q228" s="251"/>
      <c r="R228" s="216"/>
      <c r="S228" s="252"/>
      <c r="T228" s="252"/>
      <c r="U228" s="252"/>
      <c r="V228" s="252"/>
      <c r="W228" s="252"/>
      <c r="X228" s="252"/>
      <c r="Y228" s="252"/>
      <c r="Z228" s="252"/>
      <c r="AA228" s="37"/>
      <c r="AB228" s="91"/>
      <c r="AC228" s="163"/>
      <c r="AD228" s="41"/>
      <c r="AE228" s="41"/>
      <c r="AF228" s="41"/>
      <c r="AG228" s="245"/>
      <c r="AH228" s="246"/>
      <c r="AI228" s="265"/>
      <c r="AJ228" s="150"/>
      <c r="AK228" s="265"/>
      <c r="AL228" s="150"/>
      <c r="AM228" s="332" t="e">
        <f t="shared" si="9"/>
        <v>#DIV/0!</v>
      </c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</row>
    <row r="229" spans="1:65" ht="32" x14ac:dyDescent="0.2">
      <c r="A229" s="129"/>
      <c r="B229" s="33" t="str">
        <f t="shared" si="8"/>
        <v>H325-QC-EMS-DCM-A-2-S</v>
      </c>
      <c r="C229" s="42" t="s">
        <v>77</v>
      </c>
      <c r="D229" s="41" t="s">
        <v>6</v>
      </c>
      <c r="E229" s="41" t="s">
        <v>5</v>
      </c>
      <c r="F229" s="41" t="s">
        <v>46</v>
      </c>
      <c r="G229" s="41" t="s">
        <v>78</v>
      </c>
      <c r="H229" s="196" t="s">
        <v>136</v>
      </c>
      <c r="I229" s="161" t="s">
        <v>387</v>
      </c>
      <c r="J229" s="163" t="s">
        <v>385</v>
      </c>
      <c r="K229" s="34"/>
      <c r="L229" s="35" t="s">
        <v>383</v>
      </c>
      <c r="M229" s="247"/>
      <c r="N229" s="158"/>
      <c r="O229" s="158"/>
      <c r="P229" s="158"/>
      <c r="Q229" s="36" t="s">
        <v>114</v>
      </c>
      <c r="R229" s="63" t="s">
        <v>112</v>
      </c>
      <c r="S229" s="37">
        <v>0.1</v>
      </c>
      <c r="T229" s="37">
        <v>31.65</v>
      </c>
      <c r="U229" s="37">
        <v>57.6</v>
      </c>
      <c r="V229" s="37">
        <v>68.650000000000006</v>
      </c>
      <c r="W229" s="37">
        <v>48</v>
      </c>
      <c r="X229" s="37">
        <v>43.65</v>
      </c>
      <c r="Y229" s="37" t="s">
        <v>98</v>
      </c>
      <c r="Z229" s="37" t="s">
        <v>98</v>
      </c>
      <c r="AA229" s="37">
        <v>73</v>
      </c>
      <c r="AB229" s="91" t="s">
        <v>332</v>
      </c>
      <c r="AC229" s="163" t="s">
        <v>155</v>
      </c>
      <c r="AD229" s="41" t="s">
        <v>38</v>
      </c>
      <c r="AE229" s="41" t="s">
        <v>333</v>
      </c>
      <c r="AF229" s="41" t="s">
        <v>334</v>
      </c>
      <c r="AG229" s="245">
        <v>31.88</v>
      </c>
      <c r="AH229" s="246">
        <v>32.578000000000003</v>
      </c>
      <c r="AI229" s="265"/>
      <c r="AJ229" s="150"/>
      <c r="AK229" s="265"/>
      <c r="AL229" s="150"/>
      <c r="AM229" s="332">
        <f t="shared" si="9"/>
        <v>32.228999999999999</v>
      </c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</row>
    <row r="230" spans="1:65" x14ac:dyDescent="0.2">
      <c r="A230" s="129"/>
      <c r="B230" s="33" t="str">
        <f t="shared" si="8"/>
        <v>H325-QC-EMS-DCM-B-2-S</v>
      </c>
      <c r="C230" s="42" t="s">
        <v>77</v>
      </c>
      <c r="D230" s="68" t="s">
        <v>6</v>
      </c>
      <c r="E230" s="41" t="s">
        <v>5</v>
      </c>
      <c r="F230" s="41" t="s">
        <v>46</v>
      </c>
      <c r="G230" s="41" t="s">
        <v>79</v>
      </c>
      <c r="H230" s="196" t="s">
        <v>136</v>
      </c>
      <c r="I230" s="161" t="s">
        <v>386</v>
      </c>
      <c r="J230" s="163" t="s">
        <v>388</v>
      </c>
      <c r="K230" s="34"/>
      <c r="L230" s="35"/>
      <c r="M230" s="247"/>
      <c r="N230" s="158"/>
      <c r="O230" s="158"/>
      <c r="P230" s="158"/>
      <c r="Q230" s="36" t="s">
        <v>114</v>
      </c>
      <c r="R230" s="63" t="s">
        <v>112</v>
      </c>
      <c r="S230" s="37">
        <v>0.1</v>
      </c>
      <c r="T230" s="37">
        <v>31.65</v>
      </c>
      <c r="U230" s="37">
        <v>57.6</v>
      </c>
      <c r="V230" s="37">
        <v>68.650000000000006</v>
      </c>
      <c r="W230" s="37">
        <v>48</v>
      </c>
      <c r="X230" s="37">
        <v>43.65</v>
      </c>
      <c r="Y230" s="37" t="s">
        <v>98</v>
      </c>
      <c r="Z230" s="37" t="s">
        <v>98</v>
      </c>
      <c r="AA230" s="37">
        <v>73</v>
      </c>
      <c r="AB230" s="91" t="s">
        <v>332</v>
      </c>
      <c r="AC230" s="163" t="s">
        <v>155</v>
      </c>
      <c r="AD230" s="41" t="s">
        <v>38</v>
      </c>
      <c r="AE230" s="41" t="s">
        <v>333</v>
      </c>
      <c r="AF230" s="41" t="s">
        <v>334</v>
      </c>
      <c r="AG230" s="245">
        <v>50.92</v>
      </c>
      <c r="AH230" s="246">
        <v>52.054000000000002</v>
      </c>
      <c r="AI230" s="265"/>
      <c r="AJ230" s="150"/>
      <c r="AK230" s="265"/>
      <c r="AL230" s="150"/>
      <c r="AM230" s="332">
        <f t="shared" si="9"/>
        <v>51.487000000000002</v>
      </c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</row>
    <row r="231" spans="1:65" x14ac:dyDescent="0.2">
      <c r="A231" s="129"/>
      <c r="B231" s="33" t="str">
        <f t="shared" si="8"/>
        <v>H325-QC-EMS-DCM-C-2-S</v>
      </c>
      <c r="C231" s="42" t="s">
        <v>77</v>
      </c>
      <c r="D231" s="68" t="s">
        <v>6</v>
      </c>
      <c r="E231" s="41" t="s">
        <v>5</v>
      </c>
      <c r="F231" s="41" t="s">
        <v>46</v>
      </c>
      <c r="G231" s="41" t="s">
        <v>82</v>
      </c>
      <c r="H231" s="196" t="s">
        <v>136</v>
      </c>
      <c r="I231" s="161" t="s">
        <v>389</v>
      </c>
      <c r="J231" s="163" t="s">
        <v>390</v>
      </c>
      <c r="K231" s="34"/>
      <c r="L231" s="35"/>
      <c r="M231" s="247"/>
      <c r="N231" s="158"/>
      <c r="O231" s="158"/>
      <c r="P231" s="158"/>
      <c r="Q231" s="36" t="s">
        <v>114</v>
      </c>
      <c r="R231" s="63" t="s">
        <v>112</v>
      </c>
      <c r="S231" s="37">
        <v>0.1</v>
      </c>
      <c r="T231" s="37">
        <v>31.65</v>
      </c>
      <c r="U231" s="37">
        <v>57.6</v>
      </c>
      <c r="V231" s="37">
        <v>68.650000000000006</v>
      </c>
      <c r="W231" s="37">
        <v>48</v>
      </c>
      <c r="X231" s="37">
        <v>43.65</v>
      </c>
      <c r="Y231" s="37" t="s">
        <v>98</v>
      </c>
      <c r="Z231" s="37" t="s">
        <v>98</v>
      </c>
      <c r="AA231" s="37">
        <v>73</v>
      </c>
      <c r="AB231" s="91" t="s">
        <v>332</v>
      </c>
      <c r="AC231" s="163" t="s">
        <v>155</v>
      </c>
      <c r="AD231" s="41" t="s">
        <v>38</v>
      </c>
      <c r="AE231" s="41" t="s">
        <v>333</v>
      </c>
      <c r="AF231" s="41" t="s">
        <v>334</v>
      </c>
      <c r="AG231" s="245">
        <v>44.691000000000003</v>
      </c>
      <c r="AH231" s="246">
        <v>45.698999999999998</v>
      </c>
      <c r="AI231" s="265"/>
      <c r="AJ231" s="150"/>
      <c r="AK231" s="265"/>
      <c r="AL231" s="150"/>
      <c r="AM231" s="332">
        <f t="shared" si="9"/>
        <v>45.195</v>
      </c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</row>
    <row r="232" spans="1:65" x14ac:dyDescent="0.2">
      <c r="A232" s="129"/>
      <c r="B232" s="33" t="str">
        <f t="shared" si="8"/>
        <v>------S</v>
      </c>
      <c r="C232" s="42"/>
      <c r="D232" s="68"/>
      <c r="E232" s="68"/>
      <c r="F232" s="41"/>
      <c r="G232" s="41"/>
      <c r="H232" s="196"/>
      <c r="I232" s="161"/>
      <c r="J232" s="163"/>
      <c r="K232" s="34"/>
      <c r="L232" s="35"/>
      <c r="M232" s="247"/>
      <c r="N232" s="158"/>
      <c r="O232" s="158"/>
      <c r="P232" s="158"/>
      <c r="Q232" s="251"/>
      <c r="R232" s="216"/>
      <c r="S232" s="252"/>
      <c r="T232" s="252"/>
      <c r="U232" s="252"/>
      <c r="V232" s="252"/>
      <c r="W232" s="252"/>
      <c r="X232" s="252"/>
      <c r="Y232" s="252"/>
      <c r="Z232" s="252"/>
      <c r="AA232" s="37"/>
      <c r="AB232" s="91"/>
      <c r="AC232" s="163"/>
      <c r="AD232" s="41"/>
      <c r="AE232" s="41"/>
      <c r="AF232" s="41"/>
      <c r="AG232" s="245"/>
      <c r="AH232" s="246"/>
      <c r="AI232" s="265"/>
      <c r="AJ232" s="150"/>
      <c r="AK232" s="265"/>
      <c r="AL232" s="150"/>
      <c r="AM232" s="332" t="e">
        <f t="shared" si="9"/>
        <v>#DIV/0!</v>
      </c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</row>
    <row r="233" spans="1:65" x14ac:dyDescent="0.2">
      <c r="A233" s="129"/>
      <c r="B233" s="33" t="str">
        <f t="shared" si="8"/>
        <v>------S</v>
      </c>
      <c r="C233" s="42"/>
      <c r="D233" s="68"/>
      <c r="E233" s="68"/>
      <c r="F233" s="41"/>
      <c r="G233" s="41"/>
      <c r="H233" s="196"/>
      <c r="I233" s="161"/>
      <c r="J233" s="163"/>
      <c r="K233" s="34"/>
      <c r="L233" s="35"/>
      <c r="M233" s="247"/>
      <c r="N233" s="158"/>
      <c r="O233" s="158"/>
      <c r="P233" s="158"/>
      <c r="Q233" s="251"/>
      <c r="R233" s="216"/>
      <c r="S233" s="252"/>
      <c r="T233" s="252"/>
      <c r="U233" s="252"/>
      <c r="V233" s="252"/>
      <c r="W233" s="252"/>
      <c r="X233" s="252"/>
      <c r="Y233" s="252"/>
      <c r="Z233" s="252"/>
      <c r="AA233" s="37"/>
      <c r="AB233" s="91"/>
      <c r="AC233" s="163"/>
      <c r="AD233" s="41"/>
      <c r="AE233" s="41"/>
      <c r="AF233" s="41"/>
      <c r="AG233" s="245"/>
      <c r="AH233" s="246"/>
      <c r="AI233" s="265"/>
      <c r="AJ233" s="150"/>
      <c r="AK233" s="265"/>
      <c r="AL233" s="150"/>
      <c r="AM233" s="332" t="e">
        <f t="shared" si="9"/>
        <v>#DIV/0!</v>
      </c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</row>
    <row r="234" spans="1:65" x14ac:dyDescent="0.2">
      <c r="A234" s="129"/>
      <c r="B234" s="33" t="str">
        <f t="shared" si="8"/>
        <v>------S</v>
      </c>
      <c r="C234" s="42"/>
      <c r="D234" s="68"/>
      <c r="E234" s="68"/>
      <c r="F234" s="41"/>
      <c r="G234" s="41"/>
      <c r="H234" s="196"/>
      <c r="I234" s="161"/>
      <c r="J234" s="163"/>
      <c r="K234" s="34"/>
      <c r="L234" s="35"/>
      <c r="M234" s="247"/>
      <c r="N234" s="158"/>
      <c r="O234" s="158"/>
      <c r="P234" s="158"/>
      <c r="Q234" s="267"/>
      <c r="R234" s="37"/>
      <c r="S234" s="39"/>
      <c r="T234" s="37"/>
      <c r="U234" s="37"/>
      <c r="V234" s="37"/>
      <c r="W234" s="37"/>
      <c r="X234" s="37"/>
      <c r="Y234" s="37"/>
      <c r="Z234" s="37"/>
      <c r="AA234" s="42"/>
      <c r="AB234" s="91"/>
      <c r="AC234" s="40"/>
      <c r="AD234" s="42"/>
      <c r="AE234" s="42"/>
      <c r="AF234" s="42"/>
      <c r="AG234" s="245"/>
      <c r="AH234" s="246"/>
      <c r="AI234" s="265"/>
      <c r="AJ234" s="150"/>
      <c r="AK234" s="265"/>
      <c r="AL234" s="150"/>
      <c r="AM234" s="332" t="e">
        <f t="shared" si="9"/>
        <v>#DIV/0!</v>
      </c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</row>
    <row r="235" spans="1:65" x14ac:dyDescent="0.2">
      <c r="A235" s="129"/>
      <c r="B235" s="33" t="str">
        <f t="shared" si="8"/>
        <v>------S</v>
      </c>
      <c r="C235" s="42"/>
      <c r="D235" s="68"/>
      <c r="E235" s="68"/>
      <c r="F235" s="41"/>
      <c r="G235" s="196"/>
      <c r="H235" s="41"/>
      <c r="I235" s="161"/>
      <c r="J235" s="163"/>
      <c r="K235" s="34"/>
      <c r="L235" s="35"/>
      <c r="M235" s="247"/>
      <c r="N235" s="158"/>
      <c r="O235" s="158"/>
      <c r="P235" s="158"/>
      <c r="Q235" s="267"/>
      <c r="R235" s="37"/>
      <c r="S235" s="39"/>
      <c r="T235" s="37"/>
      <c r="U235" s="37"/>
      <c r="V235" s="37"/>
      <c r="W235" s="37"/>
      <c r="X235" s="37"/>
      <c r="Y235" s="37"/>
      <c r="Z235" s="37"/>
      <c r="AA235" s="42"/>
      <c r="AB235" s="91"/>
      <c r="AC235" s="40"/>
      <c r="AD235" s="42"/>
      <c r="AE235" s="42"/>
      <c r="AF235" s="42"/>
      <c r="AG235" s="245"/>
      <c r="AH235" s="246"/>
      <c r="AI235" s="265"/>
      <c r="AJ235" s="150"/>
      <c r="AK235" s="265"/>
      <c r="AL235" s="150"/>
      <c r="AM235" s="328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</row>
    <row r="236" spans="1:65" x14ac:dyDescent="0.2">
      <c r="A236" s="129"/>
      <c r="B236" s="33" t="str">
        <f t="shared" si="8"/>
        <v>------S</v>
      </c>
      <c r="C236" s="42"/>
      <c r="D236" s="68"/>
      <c r="E236" s="68"/>
      <c r="F236" s="41"/>
      <c r="G236" s="196"/>
      <c r="H236" s="196"/>
      <c r="I236" s="161"/>
      <c r="J236" s="163"/>
      <c r="K236" s="34"/>
      <c r="L236" s="35"/>
      <c r="M236" s="247"/>
      <c r="N236" s="158"/>
      <c r="O236" s="158"/>
      <c r="P236" s="158"/>
      <c r="Q236" s="251"/>
      <c r="R236" s="216"/>
      <c r="S236" s="252"/>
      <c r="T236" s="252"/>
      <c r="U236" s="252"/>
      <c r="V236" s="252"/>
      <c r="W236" s="252"/>
      <c r="X236" s="252"/>
      <c r="Y236" s="252"/>
      <c r="Z236" s="252"/>
      <c r="AA236" s="37"/>
      <c r="AB236" s="91"/>
      <c r="AC236" s="163"/>
      <c r="AD236" s="41"/>
      <c r="AE236" s="41"/>
      <c r="AF236" s="41"/>
      <c r="AG236" s="245"/>
      <c r="AH236" s="246"/>
      <c r="AI236" s="265"/>
      <c r="AJ236" s="150"/>
      <c r="AK236" s="265"/>
      <c r="AL236" s="150"/>
      <c r="AM236" s="328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</row>
    <row r="237" spans="1:65" x14ac:dyDescent="0.2">
      <c r="A237" s="129"/>
      <c r="B237" s="33" t="str">
        <f t="shared" si="8"/>
        <v>------S</v>
      </c>
      <c r="C237" s="42"/>
      <c r="D237" s="68"/>
      <c r="E237" s="68"/>
      <c r="F237" s="41"/>
      <c r="G237" s="196"/>
      <c r="H237" s="196"/>
      <c r="I237" s="161"/>
      <c r="J237" s="163"/>
      <c r="K237" s="34"/>
      <c r="L237" s="35"/>
      <c r="M237" s="247"/>
      <c r="N237" s="158"/>
      <c r="O237" s="158"/>
      <c r="P237" s="158"/>
      <c r="Q237" s="267"/>
      <c r="R237" s="37"/>
      <c r="S237" s="39"/>
      <c r="T237" s="37"/>
      <c r="U237" s="37"/>
      <c r="V237" s="37"/>
      <c r="W237" s="37"/>
      <c r="X237" s="37"/>
      <c r="Y237" s="37"/>
      <c r="Z237" s="37"/>
      <c r="AA237" s="42"/>
      <c r="AB237" s="91"/>
      <c r="AC237" s="40"/>
      <c r="AD237" s="42"/>
      <c r="AE237" s="42"/>
      <c r="AF237" s="42"/>
      <c r="AG237" s="245"/>
      <c r="AH237" s="246"/>
      <c r="AI237" s="265"/>
      <c r="AJ237" s="150"/>
      <c r="AK237" s="265"/>
      <c r="AL237" s="150"/>
      <c r="AM237" s="328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</row>
    <row r="238" spans="1:65" x14ac:dyDescent="0.2">
      <c r="A238" s="129"/>
      <c r="B238" s="33" t="str">
        <f t="shared" si="8"/>
        <v>------S</v>
      </c>
      <c r="C238" s="42"/>
      <c r="D238" s="68"/>
      <c r="E238" s="68"/>
      <c r="F238" s="41"/>
      <c r="G238" s="41"/>
      <c r="H238" s="196"/>
      <c r="I238" s="161"/>
      <c r="J238" s="163"/>
      <c r="K238" s="34"/>
      <c r="L238" s="35"/>
      <c r="M238" s="247"/>
      <c r="N238" s="158"/>
      <c r="O238" s="158"/>
      <c r="P238" s="158"/>
      <c r="Q238" s="267"/>
      <c r="R238" s="37"/>
      <c r="S238" s="39"/>
      <c r="T238" s="37"/>
      <c r="U238" s="37"/>
      <c r="V238" s="37"/>
      <c r="W238" s="37"/>
      <c r="X238" s="37"/>
      <c r="Y238" s="37"/>
      <c r="Z238" s="37"/>
      <c r="AA238" s="42"/>
      <c r="AB238" s="91"/>
      <c r="AC238" s="40"/>
      <c r="AD238" s="42"/>
      <c r="AE238" s="42"/>
      <c r="AF238" s="42"/>
      <c r="AG238" s="245"/>
      <c r="AH238" s="246"/>
      <c r="AI238" s="265"/>
      <c r="AJ238" s="150"/>
      <c r="AK238" s="265"/>
      <c r="AL238" s="150"/>
      <c r="AM238" s="328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</row>
    <row r="239" spans="1:65" x14ac:dyDescent="0.2">
      <c r="A239" s="129"/>
      <c r="B239" s="33" t="str">
        <f t="shared" si="8"/>
        <v>------S</v>
      </c>
      <c r="C239" s="42"/>
      <c r="D239" s="68"/>
      <c r="E239" s="68"/>
      <c r="F239" s="41"/>
      <c r="G239" s="41"/>
      <c r="H239" s="196"/>
      <c r="I239" s="161"/>
      <c r="J239" s="163"/>
      <c r="K239" s="34"/>
      <c r="L239" s="35"/>
      <c r="M239" s="247"/>
      <c r="N239" s="158"/>
      <c r="O239" s="158"/>
      <c r="P239" s="158"/>
      <c r="Q239" s="267"/>
      <c r="R239" s="37"/>
      <c r="S239" s="39"/>
      <c r="T239" s="37"/>
      <c r="U239" s="37"/>
      <c r="V239" s="37"/>
      <c r="W239" s="37"/>
      <c r="X239" s="37"/>
      <c r="Y239" s="37"/>
      <c r="Z239" s="37"/>
      <c r="AA239" s="42"/>
      <c r="AB239" s="91"/>
      <c r="AC239" s="40"/>
      <c r="AD239" s="42"/>
      <c r="AE239" s="42"/>
      <c r="AF239" s="42"/>
      <c r="AG239" s="245"/>
      <c r="AH239" s="246"/>
      <c r="AI239" s="265"/>
      <c r="AJ239" s="150"/>
      <c r="AK239" s="265"/>
      <c r="AL239" s="150"/>
      <c r="AM239" s="328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</row>
    <row r="240" spans="1:65" x14ac:dyDescent="0.2">
      <c r="A240" s="129"/>
      <c r="B240" s="33" t="str">
        <f t="shared" si="8"/>
        <v>------S</v>
      </c>
      <c r="C240" s="42"/>
      <c r="D240" s="68"/>
      <c r="E240" s="68"/>
      <c r="F240" s="41"/>
      <c r="G240" s="41"/>
      <c r="H240" s="196"/>
      <c r="I240" s="161"/>
      <c r="J240" s="163"/>
      <c r="K240" s="34"/>
      <c r="L240" s="35"/>
      <c r="M240" s="247"/>
      <c r="N240" s="158"/>
      <c r="O240" s="158"/>
      <c r="P240" s="158"/>
      <c r="Q240" s="267"/>
      <c r="R240" s="37"/>
      <c r="S240" s="39"/>
      <c r="T240" s="37"/>
      <c r="U240" s="37"/>
      <c r="V240" s="37"/>
      <c r="W240" s="37"/>
      <c r="X240" s="37"/>
      <c r="Y240" s="37"/>
      <c r="Z240" s="37"/>
      <c r="AA240" s="42"/>
      <c r="AB240" s="91"/>
      <c r="AC240" s="40"/>
      <c r="AD240" s="42"/>
      <c r="AE240" s="42"/>
      <c r="AF240" s="42"/>
      <c r="AG240" s="245"/>
      <c r="AH240" s="246"/>
      <c r="AI240" s="265"/>
      <c r="AJ240" s="150"/>
      <c r="AK240" s="265"/>
      <c r="AL240" s="150"/>
      <c r="AM240" s="328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</row>
    <row r="241" spans="1:65" x14ac:dyDescent="0.2">
      <c r="A241" s="129"/>
      <c r="B241" s="33" t="str">
        <f t="shared" si="8"/>
        <v>------S</v>
      </c>
      <c r="C241" s="42"/>
      <c r="D241" s="68"/>
      <c r="E241" s="68"/>
      <c r="F241" s="41"/>
      <c r="G241" s="41"/>
      <c r="H241" s="41"/>
      <c r="I241" s="161"/>
      <c r="J241" s="163"/>
      <c r="K241" s="34"/>
      <c r="L241" s="35"/>
      <c r="M241" s="247"/>
      <c r="N241" s="158"/>
      <c r="O241" s="158"/>
      <c r="P241" s="158"/>
      <c r="Q241" s="251"/>
      <c r="R241" s="216"/>
      <c r="S241" s="252"/>
      <c r="T241" s="252"/>
      <c r="U241" s="252"/>
      <c r="V241" s="252"/>
      <c r="W241" s="252"/>
      <c r="X241" s="252"/>
      <c r="Y241" s="252"/>
      <c r="Z241" s="252"/>
      <c r="AA241" s="37"/>
      <c r="AB241" s="91"/>
      <c r="AC241" s="163"/>
      <c r="AD241" s="41"/>
      <c r="AE241" s="41"/>
      <c r="AF241" s="41"/>
      <c r="AG241" s="245"/>
      <c r="AH241" s="246"/>
      <c r="AI241" s="265"/>
      <c r="AJ241" s="150"/>
      <c r="AK241" s="265"/>
      <c r="AL241" s="150"/>
      <c r="AM241" s="328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</row>
    <row r="242" spans="1:65" x14ac:dyDescent="0.2">
      <c r="A242" s="129"/>
      <c r="B242" s="33" t="str">
        <f t="shared" si="8"/>
        <v>------S</v>
      </c>
      <c r="C242" s="42"/>
      <c r="D242" s="68"/>
      <c r="E242" s="68"/>
      <c r="F242" s="41"/>
      <c r="G242" s="41"/>
      <c r="H242" s="41"/>
      <c r="I242" s="161"/>
      <c r="J242" s="163"/>
      <c r="K242" s="34"/>
      <c r="L242" s="35"/>
      <c r="M242" s="247"/>
      <c r="N242" s="158"/>
      <c r="O242" s="158"/>
      <c r="P242" s="158"/>
      <c r="Q242" s="267"/>
      <c r="R242" s="37"/>
      <c r="S242" s="39"/>
      <c r="T242" s="37"/>
      <c r="U242" s="37"/>
      <c r="V242" s="37"/>
      <c r="W242" s="37"/>
      <c r="X242" s="37"/>
      <c r="Y242" s="37"/>
      <c r="Z242" s="37"/>
      <c r="AA242" s="42"/>
      <c r="AB242" s="91"/>
      <c r="AC242" s="40"/>
      <c r="AD242" s="42"/>
      <c r="AE242" s="42"/>
      <c r="AF242" s="42"/>
      <c r="AG242" s="245"/>
      <c r="AH242" s="246"/>
      <c r="AI242" s="265"/>
      <c r="AJ242" s="150"/>
      <c r="AK242" s="265"/>
      <c r="AL242" s="150"/>
      <c r="AM242" s="328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</row>
    <row r="243" spans="1:65" x14ac:dyDescent="0.2">
      <c r="A243" s="129"/>
      <c r="B243" s="33" t="str">
        <f t="shared" si="8"/>
        <v>------S</v>
      </c>
      <c r="C243" s="42"/>
      <c r="D243" s="68"/>
      <c r="E243" s="68"/>
      <c r="F243" s="41"/>
      <c r="G243" s="41"/>
      <c r="H243" s="196"/>
      <c r="I243" s="79"/>
      <c r="J243" s="163"/>
      <c r="K243" s="34"/>
      <c r="L243" s="35"/>
      <c r="M243" s="247"/>
      <c r="N243" s="158"/>
      <c r="O243" s="158"/>
      <c r="P243" s="158"/>
      <c r="Q243" s="267"/>
      <c r="R243" s="37"/>
      <c r="S243" s="39"/>
      <c r="T243" s="37"/>
      <c r="U243" s="37"/>
      <c r="V243" s="37"/>
      <c r="W243" s="37"/>
      <c r="X243" s="37"/>
      <c r="Y243" s="37"/>
      <c r="Z243" s="37"/>
      <c r="AA243" s="42"/>
      <c r="AB243" s="91"/>
      <c r="AC243" s="40"/>
      <c r="AD243" s="42"/>
      <c r="AE243" s="42"/>
      <c r="AF243" s="42"/>
      <c r="AG243" s="245"/>
      <c r="AH243" s="246"/>
      <c r="AI243" s="265"/>
      <c r="AJ243" s="150"/>
      <c r="AK243" s="265"/>
      <c r="AL243" s="150"/>
      <c r="AM243" s="328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</row>
    <row r="244" spans="1:65" x14ac:dyDescent="0.2">
      <c r="A244" s="129"/>
      <c r="B244" s="33" t="str">
        <f t="shared" si="8"/>
        <v>------S</v>
      </c>
      <c r="C244" s="42"/>
      <c r="D244" s="68"/>
      <c r="E244" s="68"/>
      <c r="F244" s="41"/>
      <c r="G244" s="196"/>
      <c r="H244" s="196"/>
      <c r="I244" s="161"/>
      <c r="J244" s="163"/>
      <c r="K244" s="34"/>
      <c r="L244" s="35"/>
      <c r="M244" s="247"/>
      <c r="N244" s="158"/>
      <c r="O244" s="158"/>
      <c r="P244" s="158"/>
      <c r="Q244" s="267"/>
      <c r="R244" s="37"/>
      <c r="S244" s="39"/>
      <c r="T244" s="37"/>
      <c r="U244" s="37"/>
      <c r="V244" s="37"/>
      <c r="W244" s="37"/>
      <c r="X244" s="37"/>
      <c r="Y244" s="37"/>
      <c r="Z244" s="37"/>
      <c r="AA244" s="42"/>
      <c r="AB244" s="91"/>
      <c r="AC244" s="40"/>
      <c r="AD244" s="42"/>
      <c r="AE244" s="42"/>
      <c r="AF244" s="42"/>
      <c r="AG244" s="245"/>
      <c r="AH244" s="246"/>
      <c r="AI244" s="265"/>
      <c r="AJ244" s="150"/>
      <c r="AK244" s="265"/>
      <c r="AL244" s="150"/>
      <c r="AM244" s="328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</row>
    <row r="245" spans="1:65" x14ac:dyDescent="0.2">
      <c r="A245" s="129"/>
      <c r="B245" s="33" t="str">
        <f t="shared" si="8"/>
        <v>------S</v>
      </c>
      <c r="C245" s="42"/>
      <c r="D245" s="68"/>
      <c r="E245" s="68"/>
      <c r="F245" s="41"/>
      <c r="G245" s="41"/>
      <c r="H245" s="41"/>
      <c r="I245" s="161"/>
      <c r="J245" s="163"/>
      <c r="K245" s="34"/>
      <c r="L245" s="35"/>
      <c r="M245" s="247"/>
      <c r="N245" s="158"/>
      <c r="O245" s="158"/>
      <c r="P245" s="158"/>
      <c r="Q245" s="251"/>
      <c r="R245" s="216"/>
      <c r="S245" s="252"/>
      <c r="T245" s="252"/>
      <c r="U245" s="252"/>
      <c r="V245" s="252"/>
      <c r="W245" s="252"/>
      <c r="X245" s="252"/>
      <c r="Y245" s="252"/>
      <c r="Z245" s="252"/>
      <c r="AA245" s="37"/>
      <c r="AB245" s="91"/>
      <c r="AC245" s="163"/>
      <c r="AD245" s="41"/>
      <c r="AE245" s="41"/>
      <c r="AF245" s="41"/>
      <c r="AG245" s="245"/>
      <c r="AH245" s="246"/>
      <c r="AI245" s="265"/>
      <c r="AJ245" s="150"/>
      <c r="AK245" s="265"/>
      <c r="AL245" s="150"/>
      <c r="AM245" s="328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</row>
    <row r="246" spans="1:65" x14ac:dyDescent="0.2">
      <c r="A246" s="129"/>
      <c r="B246" s="33" t="str">
        <f t="shared" si="8"/>
        <v>------S</v>
      </c>
      <c r="C246" s="42"/>
      <c r="D246" s="68"/>
      <c r="E246" s="68"/>
      <c r="F246" s="41"/>
      <c r="G246" s="41"/>
      <c r="H246" s="196"/>
      <c r="I246" s="161"/>
      <c r="J246" s="163"/>
      <c r="K246" s="34"/>
      <c r="L246" s="35"/>
      <c r="M246" s="247"/>
      <c r="N246" s="158"/>
      <c r="O246" s="158"/>
      <c r="P246" s="158"/>
      <c r="Q246" s="267"/>
      <c r="R246" s="37"/>
      <c r="S246" s="39"/>
      <c r="T246" s="37"/>
      <c r="U246" s="37"/>
      <c r="V246" s="37"/>
      <c r="W246" s="37"/>
      <c r="X246" s="37"/>
      <c r="Y246" s="37"/>
      <c r="Z246" s="37"/>
      <c r="AA246" s="42"/>
      <c r="AB246" s="91"/>
      <c r="AC246" s="40"/>
      <c r="AD246" s="42"/>
      <c r="AE246" s="42"/>
      <c r="AF246" s="42"/>
      <c r="AG246" s="245"/>
      <c r="AH246" s="246"/>
      <c r="AI246" s="265"/>
      <c r="AJ246" s="150"/>
      <c r="AK246" s="265"/>
      <c r="AL246" s="150"/>
      <c r="AM246" s="328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</row>
    <row r="247" spans="1:65" x14ac:dyDescent="0.2">
      <c r="A247" s="129"/>
      <c r="B247" s="33" t="str">
        <f t="shared" si="8"/>
        <v>------S</v>
      </c>
      <c r="C247" s="42"/>
      <c r="D247" s="68"/>
      <c r="E247" s="68"/>
      <c r="F247" s="41"/>
      <c r="G247" s="196"/>
      <c r="H247" s="196"/>
      <c r="I247" s="161"/>
      <c r="J247" s="163"/>
      <c r="K247" s="34"/>
      <c r="L247" s="35"/>
      <c r="M247" s="247"/>
      <c r="N247" s="158"/>
      <c r="O247" s="158"/>
      <c r="P247" s="158"/>
      <c r="Q247" s="251"/>
      <c r="R247" s="216"/>
      <c r="S247" s="252"/>
      <c r="T247" s="252"/>
      <c r="U247" s="252"/>
      <c r="V247" s="252"/>
      <c r="W247" s="252"/>
      <c r="X247" s="252"/>
      <c r="Y247" s="252"/>
      <c r="Z247" s="252"/>
      <c r="AA247" s="37"/>
      <c r="AB247" s="91"/>
      <c r="AC247" s="163"/>
      <c r="AD247" s="41"/>
      <c r="AE247" s="41"/>
      <c r="AF247" s="41"/>
      <c r="AG247" s="245"/>
      <c r="AH247" s="246"/>
      <c r="AI247" s="265"/>
      <c r="AJ247" s="150"/>
      <c r="AK247" s="265"/>
      <c r="AL247" s="150"/>
      <c r="AM247" s="328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</row>
    <row r="248" spans="1:65" x14ac:dyDescent="0.2">
      <c r="A248" s="129"/>
      <c r="B248" s="33" t="str">
        <f t="shared" si="8"/>
        <v>------S</v>
      </c>
      <c r="C248" s="42"/>
      <c r="D248" s="68"/>
      <c r="E248" s="68"/>
      <c r="F248" s="41"/>
      <c r="G248" s="196"/>
      <c r="H248" s="196"/>
      <c r="I248" s="161"/>
      <c r="J248" s="163"/>
      <c r="K248" s="34"/>
      <c r="L248" s="35"/>
      <c r="M248" s="247"/>
      <c r="N248" s="158"/>
      <c r="O248" s="158"/>
      <c r="P248" s="158"/>
      <c r="Q248" s="267"/>
      <c r="R248" s="37"/>
      <c r="S248" s="39"/>
      <c r="T248" s="37"/>
      <c r="U248" s="37"/>
      <c r="V248" s="37"/>
      <c r="W248" s="37"/>
      <c r="X248" s="37"/>
      <c r="Y248" s="37"/>
      <c r="Z248" s="37"/>
      <c r="AA248" s="42"/>
      <c r="AB248" s="91"/>
      <c r="AC248" s="40"/>
      <c r="AD248" s="42"/>
      <c r="AE248" s="42"/>
      <c r="AF248" s="42"/>
      <c r="AG248" s="245"/>
      <c r="AH248" s="246"/>
      <c r="AI248" s="265"/>
      <c r="AJ248" s="150"/>
      <c r="AK248" s="265"/>
      <c r="AL248" s="150"/>
      <c r="AM248" s="328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</row>
    <row r="249" spans="1:65" x14ac:dyDescent="0.2">
      <c r="A249" s="129"/>
      <c r="B249" s="33" t="str">
        <f t="shared" si="8"/>
        <v>------S</v>
      </c>
      <c r="C249" s="42"/>
      <c r="D249" s="68"/>
      <c r="E249" s="68"/>
      <c r="F249" s="41"/>
      <c r="G249" s="196"/>
      <c r="H249" s="196"/>
      <c r="I249" s="161"/>
      <c r="J249" s="163"/>
      <c r="K249" s="34"/>
      <c r="L249" s="35"/>
      <c r="M249" s="247"/>
      <c r="N249" s="158"/>
      <c r="O249" s="158"/>
      <c r="P249" s="158"/>
      <c r="Q249" s="251"/>
      <c r="R249" s="216"/>
      <c r="S249" s="252"/>
      <c r="T249" s="252"/>
      <c r="U249" s="252"/>
      <c r="V249" s="252"/>
      <c r="W249" s="252"/>
      <c r="X249" s="252"/>
      <c r="Y249" s="252"/>
      <c r="Z249" s="252"/>
      <c r="AA249" s="37"/>
      <c r="AB249" s="91"/>
      <c r="AC249" s="163"/>
      <c r="AD249" s="41"/>
      <c r="AE249" s="41"/>
      <c r="AF249" s="41"/>
      <c r="AG249" s="245"/>
      <c r="AH249" s="246"/>
      <c r="AI249" s="265"/>
      <c r="AJ249" s="150"/>
      <c r="AK249" s="265"/>
      <c r="AL249" s="150"/>
      <c r="AM249" s="328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</row>
    <row r="250" spans="1:65" x14ac:dyDescent="0.2">
      <c r="A250" s="129"/>
      <c r="B250" s="33" t="str">
        <f t="shared" si="8"/>
        <v>------S</v>
      </c>
      <c r="C250" s="42"/>
      <c r="D250" s="68"/>
      <c r="E250" s="68"/>
      <c r="F250" s="41"/>
      <c r="G250" s="196"/>
      <c r="H250" s="196"/>
      <c r="I250" s="161"/>
      <c r="J250" s="163"/>
      <c r="K250" s="34"/>
      <c r="L250" s="35"/>
      <c r="M250" s="247"/>
      <c r="N250" s="158"/>
      <c r="O250" s="158"/>
      <c r="P250" s="158"/>
      <c r="Q250" s="267"/>
      <c r="R250" s="37"/>
      <c r="S250" s="39"/>
      <c r="T250" s="37"/>
      <c r="U250" s="37"/>
      <c r="V250" s="37"/>
      <c r="W250" s="37"/>
      <c r="X250" s="37"/>
      <c r="Y250" s="37"/>
      <c r="Z250" s="37"/>
      <c r="AA250" s="42"/>
      <c r="AB250" s="91"/>
      <c r="AC250" s="40"/>
      <c r="AD250" s="42"/>
      <c r="AE250" s="42"/>
      <c r="AF250" s="42"/>
      <c r="AG250" s="245"/>
      <c r="AH250" s="246"/>
      <c r="AI250" s="265"/>
      <c r="AJ250" s="150"/>
      <c r="AK250" s="265"/>
      <c r="AL250" s="150"/>
      <c r="AM250" s="328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</row>
    <row r="251" spans="1:65" x14ac:dyDescent="0.2">
      <c r="A251" s="129"/>
      <c r="B251" s="33" t="str">
        <f t="shared" si="8"/>
        <v>------S</v>
      </c>
      <c r="C251" s="42"/>
      <c r="D251" s="68"/>
      <c r="E251" s="68"/>
      <c r="F251" s="41"/>
      <c r="G251" s="41"/>
      <c r="H251" s="196"/>
      <c r="I251" s="161"/>
      <c r="J251" s="163"/>
      <c r="K251" s="34"/>
      <c r="L251" s="35"/>
      <c r="M251" s="247"/>
      <c r="N251" s="158"/>
      <c r="O251" s="158"/>
      <c r="P251" s="158"/>
      <c r="Q251" s="251"/>
      <c r="R251" s="216"/>
      <c r="S251" s="252"/>
      <c r="T251" s="252"/>
      <c r="U251" s="252"/>
      <c r="V251" s="252"/>
      <c r="W251" s="252"/>
      <c r="X251" s="252"/>
      <c r="Y251" s="252"/>
      <c r="Z251" s="252"/>
      <c r="AA251" s="37"/>
      <c r="AB251" s="91"/>
      <c r="AC251" s="163"/>
      <c r="AD251" s="41"/>
      <c r="AE251" s="41"/>
      <c r="AF251" s="41"/>
      <c r="AG251" s="245"/>
      <c r="AH251" s="246"/>
      <c r="AI251" s="265"/>
      <c r="AJ251" s="150"/>
      <c r="AK251" s="265"/>
      <c r="AL251" s="150"/>
      <c r="AM251" s="328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</row>
    <row r="252" spans="1:65" x14ac:dyDescent="0.2">
      <c r="A252" s="129"/>
      <c r="B252" s="33" t="str">
        <f t="shared" si="8"/>
        <v>------S</v>
      </c>
      <c r="C252" s="42"/>
      <c r="D252" s="68"/>
      <c r="E252" s="68"/>
      <c r="F252" s="68"/>
      <c r="G252" s="41"/>
      <c r="H252" s="196"/>
      <c r="I252" s="161"/>
      <c r="J252" s="163"/>
      <c r="K252" s="34"/>
      <c r="L252" s="35"/>
      <c r="M252" s="247"/>
      <c r="N252" s="158"/>
      <c r="O252" s="158"/>
      <c r="P252" s="158"/>
      <c r="Q252" s="267"/>
      <c r="R252" s="37"/>
      <c r="S252" s="39"/>
      <c r="T252" s="37"/>
      <c r="U252" s="37"/>
      <c r="V252" s="37"/>
      <c r="W252" s="37"/>
      <c r="X252" s="37"/>
      <c r="Y252" s="37"/>
      <c r="Z252" s="37"/>
      <c r="AA252" s="42"/>
      <c r="AB252" s="91"/>
      <c r="AC252" s="40"/>
      <c r="AD252" s="42"/>
      <c r="AE252" s="42"/>
      <c r="AF252" s="42"/>
      <c r="AG252" s="245"/>
      <c r="AH252" s="246"/>
      <c r="AI252" s="265"/>
      <c r="AJ252" s="150"/>
      <c r="AK252" s="265"/>
      <c r="AL252" s="150"/>
      <c r="AM252" s="328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</row>
    <row r="253" spans="1:65" x14ac:dyDescent="0.2">
      <c r="A253" s="129"/>
      <c r="B253" s="33" t="str">
        <f t="shared" si="8"/>
        <v>------S</v>
      </c>
      <c r="C253" s="42"/>
      <c r="D253" s="68"/>
      <c r="E253" s="68"/>
      <c r="F253" s="41"/>
      <c r="G253" s="41"/>
      <c r="H253" s="196"/>
      <c r="I253" s="161"/>
      <c r="J253" s="163"/>
      <c r="K253" s="34"/>
      <c r="L253" s="35"/>
      <c r="M253" s="247"/>
      <c r="N253" s="158"/>
      <c r="O253" s="158"/>
      <c r="P253" s="158"/>
      <c r="Q253" s="267"/>
      <c r="R253" s="37"/>
      <c r="S253" s="39"/>
      <c r="T253" s="37"/>
      <c r="U253" s="37"/>
      <c r="V253" s="37"/>
      <c r="W253" s="37"/>
      <c r="X253" s="37"/>
      <c r="Y253" s="37"/>
      <c r="Z253" s="37"/>
      <c r="AA253" s="42"/>
      <c r="AB253" s="91"/>
      <c r="AC253" s="40"/>
      <c r="AD253" s="42"/>
      <c r="AE253" s="42"/>
      <c r="AF253" s="42"/>
      <c r="AG253" s="245"/>
      <c r="AH253" s="246"/>
      <c r="AI253" s="265"/>
      <c r="AJ253" s="150"/>
      <c r="AK253" s="265"/>
      <c r="AL253" s="150"/>
      <c r="AM253" s="328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</row>
    <row r="254" spans="1:65" x14ac:dyDescent="0.2">
      <c r="A254" s="129"/>
      <c r="B254" s="33" t="str">
        <f t="shared" si="8"/>
        <v>------S</v>
      </c>
      <c r="C254" s="42"/>
      <c r="D254" s="68"/>
      <c r="E254" s="68"/>
      <c r="F254" s="41"/>
      <c r="G254" s="41"/>
      <c r="H254" s="196"/>
      <c r="I254" s="161"/>
      <c r="J254" s="163"/>
      <c r="K254" s="34"/>
      <c r="L254" s="35"/>
      <c r="M254" s="247"/>
      <c r="N254" s="158"/>
      <c r="O254" s="158"/>
      <c r="P254" s="158"/>
      <c r="Q254" s="267"/>
      <c r="R254" s="37"/>
      <c r="S254" s="39"/>
      <c r="T254" s="37"/>
      <c r="U254" s="37"/>
      <c r="V254" s="37"/>
      <c r="W254" s="37"/>
      <c r="X254" s="37"/>
      <c r="Y254" s="37"/>
      <c r="Z254" s="37"/>
      <c r="AA254" s="42"/>
      <c r="AB254" s="91"/>
      <c r="AC254" s="40"/>
      <c r="AD254" s="42"/>
      <c r="AE254" s="42"/>
      <c r="AF254" s="42"/>
      <c r="AG254" s="245"/>
      <c r="AH254" s="246"/>
      <c r="AI254" s="265"/>
      <c r="AJ254" s="150"/>
      <c r="AK254" s="265"/>
      <c r="AL254" s="150"/>
      <c r="AM254" s="328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</row>
    <row r="255" spans="1:65" x14ac:dyDescent="0.2">
      <c r="A255" s="129"/>
      <c r="B255" s="33" t="str">
        <f t="shared" si="8"/>
        <v>------S</v>
      </c>
      <c r="C255" s="42"/>
      <c r="D255" s="68"/>
      <c r="E255" s="68"/>
      <c r="F255" s="41"/>
      <c r="G255" s="196"/>
      <c r="H255" s="196"/>
      <c r="I255" s="161"/>
      <c r="J255" s="163"/>
      <c r="K255" s="34"/>
      <c r="L255" s="35"/>
      <c r="M255" s="247"/>
      <c r="N255" s="158"/>
      <c r="O255" s="158"/>
      <c r="P255" s="158"/>
      <c r="Q255" s="267"/>
      <c r="R255" s="37"/>
      <c r="S255" s="39"/>
      <c r="T255" s="37"/>
      <c r="U255" s="37"/>
      <c r="V255" s="37"/>
      <c r="W255" s="37"/>
      <c r="X255" s="37"/>
      <c r="Y255" s="37"/>
      <c r="Z255" s="37"/>
      <c r="AA255" s="42"/>
      <c r="AB255" s="91"/>
      <c r="AC255" s="40"/>
      <c r="AD255" s="42"/>
      <c r="AE255" s="42"/>
      <c r="AF255" s="42"/>
      <c r="AG255" s="245"/>
      <c r="AH255" s="246"/>
      <c r="AI255" s="265"/>
      <c r="AJ255" s="150"/>
      <c r="AK255" s="265"/>
      <c r="AL255" s="150"/>
      <c r="AM255" s="328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</row>
    <row r="256" spans="1:65" x14ac:dyDescent="0.2">
      <c r="A256" s="129"/>
      <c r="B256" s="33" t="str">
        <f t="shared" si="8"/>
        <v>------S</v>
      </c>
      <c r="C256" s="42"/>
      <c r="D256" s="68"/>
      <c r="E256" s="68"/>
      <c r="F256" s="41"/>
      <c r="G256" s="196"/>
      <c r="H256" s="196"/>
      <c r="I256" s="161"/>
      <c r="J256" s="163"/>
      <c r="K256" s="34"/>
      <c r="L256" s="35"/>
      <c r="M256" s="247"/>
      <c r="N256" s="158"/>
      <c r="O256" s="158"/>
      <c r="P256" s="158"/>
      <c r="Q256" s="267"/>
      <c r="R256" s="37"/>
      <c r="S256" s="39"/>
      <c r="T256" s="37"/>
      <c r="U256" s="37"/>
      <c r="V256" s="37"/>
      <c r="W256" s="37"/>
      <c r="X256" s="37"/>
      <c r="Y256" s="37"/>
      <c r="Z256" s="37"/>
      <c r="AA256" s="42"/>
      <c r="AB256" s="91"/>
      <c r="AC256" s="40"/>
      <c r="AD256" s="42"/>
      <c r="AE256" s="42"/>
      <c r="AF256" s="42"/>
      <c r="AG256" s="245"/>
      <c r="AH256" s="246"/>
      <c r="AI256" s="265"/>
      <c r="AJ256" s="150"/>
      <c r="AK256" s="265"/>
      <c r="AL256" s="150"/>
      <c r="AM256" s="328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</row>
    <row r="257" spans="1:65" x14ac:dyDescent="0.2">
      <c r="A257" s="129"/>
      <c r="B257" s="33" t="str">
        <f t="shared" si="8"/>
        <v>------S</v>
      </c>
      <c r="C257" s="42"/>
      <c r="D257" s="68"/>
      <c r="E257" s="68"/>
      <c r="F257" s="41"/>
      <c r="G257" s="41"/>
      <c r="H257" s="196"/>
      <c r="I257" s="161"/>
      <c r="J257" s="163"/>
      <c r="K257" s="34"/>
      <c r="L257" s="35"/>
      <c r="M257" s="247"/>
      <c r="N257" s="158"/>
      <c r="O257" s="158"/>
      <c r="P257" s="158"/>
      <c r="Q257" s="267"/>
      <c r="R257" s="37"/>
      <c r="S257" s="39"/>
      <c r="T257" s="37"/>
      <c r="U257" s="37"/>
      <c r="V257" s="37"/>
      <c r="W257" s="37"/>
      <c r="X257" s="37"/>
      <c r="Y257" s="37"/>
      <c r="Z257" s="37"/>
      <c r="AA257" s="42"/>
      <c r="AB257" s="91"/>
      <c r="AC257" s="40"/>
      <c r="AD257" s="42"/>
      <c r="AE257" s="42"/>
      <c r="AF257" s="42"/>
      <c r="AG257" s="245"/>
      <c r="AH257" s="246"/>
      <c r="AI257" s="265"/>
      <c r="AJ257" s="150"/>
      <c r="AK257" s="265"/>
      <c r="AL257" s="150"/>
      <c r="AM257" s="328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</row>
    <row r="258" spans="1:65" x14ac:dyDescent="0.2">
      <c r="A258" s="129"/>
      <c r="B258" s="33" t="str">
        <f t="shared" si="8"/>
        <v>------S</v>
      </c>
      <c r="C258" s="42"/>
      <c r="D258" s="68"/>
      <c r="E258" s="68"/>
      <c r="F258" s="41"/>
      <c r="G258" s="41"/>
      <c r="H258" s="196"/>
      <c r="I258" s="161"/>
      <c r="J258" s="163"/>
      <c r="K258" s="34"/>
      <c r="L258" s="35"/>
      <c r="M258" s="247"/>
      <c r="N258" s="158"/>
      <c r="O258" s="158"/>
      <c r="P258" s="158"/>
      <c r="Q258" s="267"/>
      <c r="R258" s="37"/>
      <c r="S258" s="39"/>
      <c r="T258" s="37"/>
      <c r="U258" s="37"/>
      <c r="V258" s="37"/>
      <c r="W258" s="37"/>
      <c r="X258" s="37"/>
      <c r="Y258" s="37"/>
      <c r="Z258" s="37"/>
      <c r="AA258" s="42"/>
      <c r="AB258" s="91"/>
      <c r="AC258" s="40"/>
      <c r="AD258" s="42"/>
      <c r="AE258" s="42"/>
      <c r="AF258" s="42"/>
      <c r="AG258" s="245"/>
      <c r="AH258" s="246"/>
      <c r="AI258" s="265"/>
      <c r="AJ258" s="150"/>
      <c r="AK258" s="265"/>
      <c r="AL258" s="150"/>
      <c r="AM258" s="328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</row>
    <row r="259" spans="1:65" x14ac:dyDescent="0.2">
      <c r="A259" s="129"/>
      <c r="B259" s="33" t="str">
        <f t="shared" si="8"/>
        <v>------S</v>
      </c>
      <c r="C259" s="42"/>
      <c r="D259" s="68"/>
      <c r="E259" s="68"/>
      <c r="F259" s="41"/>
      <c r="G259" s="41"/>
      <c r="H259" s="196"/>
      <c r="I259" s="161"/>
      <c r="J259" s="163"/>
      <c r="K259" s="34"/>
      <c r="L259" s="35"/>
      <c r="M259" s="247"/>
      <c r="N259" s="158"/>
      <c r="O259" s="158"/>
      <c r="P259" s="158"/>
      <c r="Q259" s="267"/>
      <c r="R259" s="37"/>
      <c r="S259" s="39"/>
      <c r="T259" s="37"/>
      <c r="U259" s="37"/>
      <c r="V259" s="37"/>
      <c r="W259" s="37"/>
      <c r="X259" s="37"/>
      <c r="Y259" s="37"/>
      <c r="Z259" s="37"/>
      <c r="AA259" s="42"/>
      <c r="AB259" s="91"/>
      <c r="AC259" s="40"/>
      <c r="AD259" s="42"/>
      <c r="AE259" s="42"/>
      <c r="AF259" s="42"/>
      <c r="AG259" s="245"/>
      <c r="AH259" s="246"/>
      <c r="AI259" s="265"/>
      <c r="AJ259" s="150"/>
      <c r="AK259" s="265"/>
      <c r="AL259" s="150"/>
      <c r="AM259" s="328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</row>
    <row r="260" spans="1:65" x14ac:dyDescent="0.2">
      <c r="A260" s="129"/>
      <c r="B260" s="33" t="str">
        <f t="shared" ref="B260:B305" si="10">CONCATENATE(C260,"-",D260,"-",$E260,"-",F260,,"-",G260,"-",H260,"-S")</f>
        <v>------S</v>
      </c>
      <c r="C260" s="42"/>
      <c r="D260" s="68"/>
      <c r="E260" s="68"/>
      <c r="F260" s="41"/>
      <c r="G260" s="41"/>
      <c r="H260" s="41"/>
      <c r="I260" s="161"/>
      <c r="J260" s="163"/>
      <c r="K260" s="34"/>
      <c r="L260" s="35"/>
      <c r="M260" s="247"/>
      <c r="N260" s="158"/>
      <c r="O260" s="158"/>
      <c r="P260" s="158"/>
      <c r="Q260" s="267"/>
      <c r="R260" s="37"/>
      <c r="S260" s="39"/>
      <c r="T260" s="37"/>
      <c r="U260" s="37"/>
      <c r="V260" s="37"/>
      <c r="W260" s="37"/>
      <c r="X260" s="37"/>
      <c r="Y260" s="37"/>
      <c r="Z260" s="37"/>
      <c r="AA260" s="42"/>
      <c r="AB260" s="91"/>
      <c r="AC260" s="40"/>
      <c r="AD260" s="42"/>
      <c r="AE260" s="42"/>
      <c r="AF260" s="42"/>
      <c r="AG260" s="245"/>
      <c r="AH260" s="246"/>
      <c r="AI260" s="265"/>
      <c r="AJ260" s="150"/>
      <c r="AK260" s="265"/>
      <c r="AL260" s="150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</row>
    <row r="261" spans="1:65" x14ac:dyDescent="0.2">
      <c r="A261" s="129"/>
      <c r="B261" s="33" t="str">
        <f t="shared" si="10"/>
        <v>------S</v>
      </c>
      <c r="C261" s="42"/>
      <c r="D261" s="68"/>
      <c r="E261" s="68"/>
      <c r="F261" s="41"/>
      <c r="G261" s="196"/>
      <c r="H261" s="41"/>
      <c r="I261" s="161"/>
      <c r="J261" s="163"/>
      <c r="K261" s="34"/>
      <c r="L261" s="35"/>
      <c r="M261" s="247"/>
      <c r="N261" s="158"/>
      <c r="O261" s="158"/>
      <c r="P261" s="158"/>
      <c r="Q261" s="267"/>
      <c r="R261" s="37"/>
      <c r="S261" s="39"/>
      <c r="T261" s="37"/>
      <c r="U261" s="37"/>
      <c r="V261" s="37"/>
      <c r="W261" s="37"/>
      <c r="X261" s="37"/>
      <c r="Y261" s="37"/>
      <c r="Z261" s="37"/>
      <c r="AA261" s="42"/>
      <c r="AB261" s="91"/>
      <c r="AC261" s="40"/>
      <c r="AD261" s="42"/>
      <c r="AE261" s="42"/>
      <c r="AF261" s="42"/>
      <c r="AG261" s="245"/>
      <c r="AH261" s="246"/>
      <c r="AI261" s="265"/>
      <c r="AJ261" s="150"/>
      <c r="AK261" s="265"/>
      <c r="AL261" s="150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</row>
    <row r="262" spans="1:65" x14ac:dyDescent="0.2">
      <c r="A262" s="129"/>
      <c r="B262" s="33" t="str">
        <f t="shared" si="10"/>
        <v>------S</v>
      </c>
      <c r="C262" s="42"/>
      <c r="D262" s="68"/>
      <c r="E262" s="68"/>
      <c r="F262" s="41"/>
      <c r="G262" s="196"/>
      <c r="H262" s="41"/>
      <c r="I262" s="161"/>
      <c r="J262" s="163"/>
      <c r="K262" s="34"/>
      <c r="L262" s="35"/>
      <c r="M262" s="247"/>
      <c r="N262" s="158"/>
      <c r="O262" s="158"/>
      <c r="P262" s="158"/>
      <c r="Q262" s="267"/>
      <c r="R262" s="37"/>
      <c r="S262" s="39"/>
      <c r="T262" s="37"/>
      <c r="U262" s="37"/>
      <c r="V262" s="37"/>
      <c r="W262" s="37"/>
      <c r="X262" s="37"/>
      <c r="Y262" s="37"/>
      <c r="Z262" s="37"/>
      <c r="AA262" s="42"/>
      <c r="AB262" s="91"/>
      <c r="AC262" s="40"/>
      <c r="AD262" s="42"/>
      <c r="AE262" s="42"/>
      <c r="AF262" s="42"/>
      <c r="AG262" s="245"/>
      <c r="AH262" s="246"/>
      <c r="AI262" s="265"/>
      <c r="AJ262" s="150"/>
      <c r="AK262" s="265"/>
      <c r="AL262" s="150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</row>
    <row r="263" spans="1:65" x14ac:dyDescent="0.2">
      <c r="A263" s="129"/>
      <c r="B263" s="33" t="str">
        <f t="shared" si="10"/>
        <v>------S</v>
      </c>
      <c r="C263" s="42"/>
      <c r="D263" s="68"/>
      <c r="E263" s="68"/>
      <c r="F263" s="68"/>
      <c r="G263" s="41"/>
      <c r="H263" s="41"/>
      <c r="I263" s="266"/>
      <c r="J263" s="163"/>
      <c r="K263" s="34"/>
      <c r="L263" s="35"/>
      <c r="M263" s="247"/>
      <c r="N263" s="158"/>
      <c r="O263" s="158"/>
      <c r="P263" s="158"/>
      <c r="Q263" s="267"/>
      <c r="R263" s="37"/>
      <c r="S263" s="39"/>
      <c r="T263" s="37"/>
      <c r="U263" s="37"/>
      <c r="V263" s="37"/>
      <c r="W263" s="37"/>
      <c r="X263" s="37"/>
      <c r="Y263" s="37"/>
      <c r="Z263" s="37"/>
      <c r="AA263" s="42"/>
      <c r="AB263" s="91"/>
      <c r="AC263" s="40"/>
      <c r="AD263" s="42"/>
      <c r="AE263" s="42"/>
      <c r="AF263" s="42"/>
      <c r="AG263" s="245"/>
      <c r="AH263" s="246"/>
      <c r="AI263" s="265"/>
      <c r="AJ263" s="150"/>
      <c r="AK263" s="265"/>
      <c r="AL263" s="150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</row>
    <row r="264" spans="1:65" x14ac:dyDescent="0.2">
      <c r="A264" s="129"/>
      <c r="B264" s="33" t="str">
        <f t="shared" si="10"/>
        <v>------S</v>
      </c>
      <c r="C264" s="42"/>
      <c r="D264" s="68"/>
      <c r="E264" s="68"/>
      <c r="F264" s="68"/>
      <c r="G264" s="196"/>
      <c r="H264" s="196"/>
      <c r="I264" s="266"/>
      <c r="J264" s="163"/>
      <c r="K264" s="34"/>
      <c r="L264" s="35"/>
      <c r="M264" s="247"/>
      <c r="N264" s="158"/>
      <c r="O264" s="158"/>
      <c r="P264" s="158"/>
      <c r="Q264" s="267"/>
      <c r="R264" s="37"/>
      <c r="S264" s="39"/>
      <c r="T264" s="37"/>
      <c r="U264" s="37"/>
      <c r="V264" s="37"/>
      <c r="W264" s="37"/>
      <c r="X264" s="37"/>
      <c r="Y264" s="37"/>
      <c r="Z264" s="37"/>
      <c r="AA264" s="42"/>
      <c r="AB264" s="91"/>
      <c r="AC264" s="40"/>
      <c r="AD264" s="42"/>
      <c r="AE264" s="42"/>
      <c r="AF264" s="42"/>
      <c r="AG264" s="245"/>
      <c r="AH264" s="246"/>
      <c r="AI264" s="265"/>
      <c r="AJ264" s="150"/>
      <c r="AK264" s="265"/>
      <c r="AL264" s="150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</row>
    <row r="265" spans="1:65" x14ac:dyDescent="0.2">
      <c r="A265" s="129"/>
      <c r="B265" s="33" t="str">
        <f t="shared" si="10"/>
        <v>------S</v>
      </c>
      <c r="C265" s="42"/>
      <c r="D265" s="68"/>
      <c r="E265" s="68"/>
      <c r="F265" s="41"/>
      <c r="G265" s="196"/>
      <c r="H265" s="196"/>
      <c r="I265" s="266"/>
      <c r="J265" s="163"/>
      <c r="K265" s="34"/>
      <c r="L265" s="35"/>
      <c r="M265" s="247"/>
      <c r="N265" s="158"/>
      <c r="O265" s="158"/>
      <c r="P265" s="158"/>
      <c r="Q265" s="267"/>
      <c r="R265" s="37"/>
      <c r="S265" s="39"/>
      <c r="T265" s="37"/>
      <c r="U265" s="37"/>
      <c r="V265" s="37"/>
      <c r="W265" s="37"/>
      <c r="X265" s="37"/>
      <c r="Y265" s="37"/>
      <c r="Z265" s="37"/>
      <c r="AA265" s="42"/>
      <c r="AB265" s="91"/>
      <c r="AC265" s="40"/>
      <c r="AD265" s="42"/>
      <c r="AE265" s="42"/>
      <c r="AF265" s="42"/>
      <c r="AG265" s="245"/>
      <c r="AH265" s="246"/>
      <c r="AI265" s="265"/>
      <c r="AJ265" s="150"/>
      <c r="AK265" s="265"/>
      <c r="AL265" s="150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</row>
    <row r="266" spans="1:65" x14ac:dyDescent="0.2">
      <c r="A266" s="129"/>
      <c r="B266" s="33" t="str">
        <f t="shared" si="10"/>
        <v>------S</v>
      </c>
      <c r="C266" s="42"/>
      <c r="D266" s="68"/>
      <c r="E266" s="68"/>
      <c r="F266" s="41"/>
      <c r="G266" s="196"/>
      <c r="H266" s="196"/>
      <c r="I266" s="266"/>
      <c r="J266" s="163"/>
      <c r="K266" s="34"/>
      <c r="L266" s="35"/>
      <c r="M266" s="247"/>
      <c r="N266" s="158"/>
      <c r="O266" s="158"/>
      <c r="P266" s="158"/>
      <c r="Q266" s="267"/>
      <c r="R266" s="37"/>
      <c r="S266" s="39"/>
      <c r="T266" s="37"/>
      <c r="U266" s="37"/>
      <c r="V266" s="37"/>
      <c r="W266" s="37"/>
      <c r="X266" s="37"/>
      <c r="Y266" s="37"/>
      <c r="Z266" s="37"/>
      <c r="AA266" s="42"/>
      <c r="AB266" s="91"/>
      <c r="AC266" s="40"/>
      <c r="AD266" s="42"/>
      <c r="AE266" s="42"/>
      <c r="AF266" s="42"/>
      <c r="AG266" s="245"/>
      <c r="AH266" s="246"/>
      <c r="AI266" s="265"/>
      <c r="AJ266" s="150"/>
      <c r="AK266" s="265"/>
      <c r="AL266" s="150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</row>
    <row r="267" spans="1:65" x14ac:dyDescent="0.2">
      <c r="A267" s="129"/>
      <c r="B267" s="33" t="str">
        <f t="shared" si="10"/>
        <v>------S</v>
      </c>
      <c r="C267" s="42"/>
      <c r="D267" s="68"/>
      <c r="E267" s="68"/>
      <c r="F267" s="41"/>
      <c r="G267" s="196"/>
      <c r="H267" s="196"/>
      <c r="I267" s="266"/>
      <c r="J267" s="163"/>
      <c r="K267" s="34"/>
      <c r="L267" s="35"/>
      <c r="M267" s="247"/>
      <c r="N267" s="158"/>
      <c r="O267" s="158"/>
      <c r="P267" s="158"/>
      <c r="Q267" s="267"/>
      <c r="R267" s="37"/>
      <c r="S267" s="39"/>
      <c r="T267" s="37"/>
      <c r="U267" s="37"/>
      <c r="V267" s="37"/>
      <c r="W267" s="37"/>
      <c r="X267" s="37"/>
      <c r="Y267" s="37"/>
      <c r="Z267" s="37"/>
      <c r="AA267" s="42"/>
      <c r="AB267" s="91"/>
      <c r="AC267" s="40"/>
      <c r="AD267" s="42"/>
      <c r="AE267" s="42"/>
      <c r="AF267" s="42"/>
      <c r="AG267" s="245"/>
      <c r="AH267" s="246"/>
      <c r="AI267" s="265"/>
      <c r="AJ267" s="150"/>
      <c r="AK267" s="265"/>
      <c r="AL267" s="150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</row>
    <row r="268" spans="1:65" x14ac:dyDescent="0.2">
      <c r="A268" s="129"/>
      <c r="B268" s="33" t="str">
        <f t="shared" si="10"/>
        <v>------S</v>
      </c>
      <c r="C268" s="42"/>
      <c r="D268" s="68"/>
      <c r="E268" s="68"/>
      <c r="F268" s="41"/>
      <c r="G268" s="196"/>
      <c r="H268" s="196"/>
      <c r="I268" s="266"/>
      <c r="J268" s="163"/>
      <c r="K268" s="34"/>
      <c r="L268" s="35"/>
      <c r="M268" s="247"/>
      <c r="N268" s="158"/>
      <c r="O268" s="158"/>
      <c r="P268" s="158"/>
      <c r="Q268" s="267"/>
      <c r="R268" s="37"/>
      <c r="S268" s="39"/>
      <c r="T268" s="37"/>
      <c r="U268" s="37"/>
      <c r="V268" s="37"/>
      <c r="W268" s="37"/>
      <c r="X268" s="37"/>
      <c r="Y268" s="37"/>
      <c r="Z268" s="37"/>
      <c r="AA268" s="42"/>
      <c r="AB268" s="91"/>
      <c r="AC268" s="40"/>
      <c r="AD268" s="42"/>
      <c r="AE268" s="42"/>
      <c r="AF268" s="42"/>
      <c r="AG268" s="245"/>
      <c r="AH268" s="246"/>
      <c r="AI268" s="265"/>
      <c r="AJ268" s="150"/>
      <c r="AK268" s="265"/>
      <c r="AL268" s="150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</row>
    <row r="269" spans="1:65" x14ac:dyDescent="0.2">
      <c r="A269" s="129"/>
      <c r="B269" s="33" t="str">
        <f t="shared" si="10"/>
        <v>------S</v>
      </c>
      <c r="C269" s="42"/>
      <c r="D269" s="68"/>
      <c r="E269" s="68"/>
      <c r="F269" s="41"/>
      <c r="G269" s="41"/>
      <c r="H269" s="196"/>
      <c r="I269" s="266"/>
      <c r="J269" s="163"/>
      <c r="K269" s="34"/>
      <c r="L269" s="35"/>
      <c r="M269" s="247"/>
      <c r="N269" s="158"/>
      <c r="O269" s="158"/>
      <c r="P269" s="158"/>
      <c r="Q269" s="267"/>
      <c r="R269" s="37"/>
      <c r="S269" s="39"/>
      <c r="T269" s="37"/>
      <c r="U269" s="37"/>
      <c r="V269" s="37"/>
      <c r="W269" s="37"/>
      <c r="X269" s="37"/>
      <c r="Y269" s="37"/>
      <c r="Z269" s="37"/>
      <c r="AA269" s="42"/>
      <c r="AB269" s="91"/>
      <c r="AC269" s="40"/>
      <c r="AD269" s="42"/>
      <c r="AE269" s="42"/>
      <c r="AF269" s="42"/>
      <c r="AG269" s="245"/>
      <c r="AH269" s="246"/>
      <c r="AI269" s="265"/>
      <c r="AJ269" s="150"/>
      <c r="AK269" s="265"/>
      <c r="AL269" s="150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</row>
    <row r="270" spans="1:65" x14ac:dyDescent="0.2">
      <c r="A270" s="129"/>
      <c r="B270" s="33" t="str">
        <f t="shared" si="10"/>
        <v>------S</v>
      </c>
      <c r="C270" s="42"/>
      <c r="D270" s="68"/>
      <c r="E270" s="68"/>
      <c r="F270" s="41"/>
      <c r="G270" s="41"/>
      <c r="H270" s="196"/>
      <c r="I270" s="266"/>
      <c r="J270" s="163"/>
      <c r="K270" s="34"/>
      <c r="L270" s="35"/>
      <c r="M270" s="247"/>
      <c r="N270" s="158"/>
      <c r="O270" s="158"/>
      <c r="P270" s="158"/>
      <c r="Q270" s="267"/>
      <c r="R270" s="37"/>
      <c r="S270" s="39"/>
      <c r="T270" s="37"/>
      <c r="U270" s="37"/>
      <c r="V270" s="37"/>
      <c r="W270" s="37"/>
      <c r="X270" s="37"/>
      <c r="Y270" s="37"/>
      <c r="Z270" s="37"/>
      <c r="AA270" s="42"/>
      <c r="AB270" s="91"/>
      <c r="AC270" s="40"/>
      <c r="AD270" s="42"/>
      <c r="AE270" s="42"/>
      <c r="AF270" s="42"/>
      <c r="AG270" s="245"/>
      <c r="AH270" s="246"/>
      <c r="AI270" s="265"/>
      <c r="AJ270" s="150"/>
      <c r="AK270" s="265"/>
      <c r="AL270" s="150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</row>
    <row r="271" spans="1:65" x14ac:dyDescent="0.2">
      <c r="A271" s="129"/>
      <c r="B271" s="33" t="str">
        <f t="shared" si="10"/>
        <v>------S</v>
      </c>
      <c r="C271" s="42"/>
      <c r="D271" s="68"/>
      <c r="E271" s="68"/>
      <c r="F271" s="41"/>
      <c r="G271" s="41"/>
      <c r="H271" s="196"/>
      <c r="I271" s="266"/>
      <c r="J271" s="163"/>
      <c r="K271" s="34"/>
      <c r="L271" s="35"/>
      <c r="M271" s="247"/>
      <c r="N271" s="158"/>
      <c r="O271" s="158"/>
      <c r="P271" s="158"/>
      <c r="Q271" s="267"/>
      <c r="R271" s="37"/>
      <c r="S271" s="39"/>
      <c r="T271" s="37"/>
      <c r="U271" s="37"/>
      <c r="V271" s="37"/>
      <c r="W271" s="37"/>
      <c r="X271" s="37"/>
      <c r="Y271" s="37"/>
      <c r="Z271" s="37"/>
      <c r="AA271" s="42"/>
      <c r="AB271" s="91"/>
      <c r="AC271" s="40"/>
      <c r="AD271" s="42"/>
      <c r="AE271" s="42"/>
      <c r="AF271" s="42"/>
      <c r="AG271" s="245"/>
      <c r="AH271" s="246"/>
      <c r="AI271" s="265"/>
      <c r="AJ271" s="150"/>
      <c r="AK271" s="265"/>
      <c r="AL271" s="150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</row>
    <row r="272" spans="1:65" x14ac:dyDescent="0.2">
      <c r="A272" s="129"/>
      <c r="B272" s="33" t="str">
        <f t="shared" si="10"/>
        <v>------S</v>
      </c>
      <c r="C272" s="42"/>
      <c r="D272" s="68"/>
      <c r="E272" s="68"/>
      <c r="F272" s="41"/>
      <c r="G272" s="196"/>
      <c r="H272" s="196"/>
      <c r="I272" s="266"/>
      <c r="J272" s="163"/>
      <c r="K272" s="34"/>
      <c r="L272" s="35"/>
      <c r="M272" s="247"/>
      <c r="N272" s="158"/>
      <c r="O272" s="158"/>
      <c r="P272" s="158"/>
      <c r="Q272" s="267"/>
      <c r="R272" s="37"/>
      <c r="S272" s="39"/>
      <c r="T272" s="37"/>
      <c r="U272" s="37"/>
      <c r="V272" s="37"/>
      <c r="W272" s="37"/>
      <c r="X272" s="37"/>
      <c r="Y272" s="37"/>
      <c r="Z272" s="37"/>
      <c r="AA272" s="42"/>
      <c r="AB272" s="91"/>
      <c r="AC272" s="40"/>
      <c r="AD272" s="42"/>
      <c r="AE272" s="42"/>
      <c r="AF272" s="42"/>
      <c r="AG272" s="245"/>
      <c r="AH272" s="246"/>
      <c r="AI272" s="265"/>
      <c r="AJ272" s="150"/>
      <c r="AK272" s="265"/>
      <c r="AL272" s="150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</row>
    <row r="273" spans="1:65" x14ac:dyDescent="0.2">
      <c r="A273" s="129"/>
      <c r="B273" s="33" t="str">
        <f t="shared" si="10"/>
        <v>------S</v>
      </c>
      <c r="C273" s="42"/>
      <c r="D273" s="68"/>
      <c r="E273" s="68"/>
      <c r="F273" s="41"/>
      <c r="G273" s="41"/>
      <c r="H273" s="196"/>
      <c r="I273" s="266"/>
      <c r="J273" s="163"/>
      <c r="K273" s="34"/>
      <c r="L273" s="35"/>
      <c r="M273" s="247"/>
      <c r="N273" s="158"/>
      <c r="O273" s="158"/>
      <c r="P273" s="158"/>
      <c r="Q273" s="267"/>
      <c r="R273" s="37"/>
      <c r="S273" s="39"/>
      <c r="T273" s="37"/>
      <c r="U273" s="37"/>
      <c r="V273" s="37"/>
      <c r="W273" s="37"/>
      <c r="X273" s="37"/>
      <c r="Y273" s="37"/>
      <c r="Z273" s="37"/>
      <c r="AA273" s="42"/>
      <c r="AB273" s="91"/>
      <c r="AC273" s="40"/>
      <c r="AD273" s="42"/>
      <c r="AE273" s="42"/>
      <c r="AF273" s="42"/>
      <c r="AG273" s="245"/>
      <c r="AH273" s="246"/>
      <c r="AI273" s="265"/>
      <c r="AJ273" s="150"/>
      <c r="AK273" s="265"/>
      <c r="AL273" s="150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</row>
    <row r="274" spans="1:65" x14ac:dyDescent="0.2">
      <c r="A274" s="129"/>
      <c r="B274" s="33" t="str">
        <f t="shared" si="10"/>
        <v>------S</v>
      </c>
      <c r="C274" s="42"/>
      <c r="D274" s="68"/>
      <c r="E274" s="68"/>
      <c r="F274" s="41"/>
      <c r="G274" s="41"/>
      <c r="H274" s="196"/>
      <c r="I274" s="266"/>
      <c r="J274" s="163"/>
      <c r="K274" s="34"/>
      <c r="L274" s="35"/>
      <c r="M274" s="247"/>
      <c r="N274" s="158"/>
      <c r="O274" s="158"/>
      <c r="P274" s="158"/>
      <c r="Q274" s="267"/>
      <c r="R274" s="37"/>
      <c r="S274" s="39"/>
      <c r="T274" s="37"/>
      <c r="U274" s="37"/>
      <c r="V274" s="37"/>
      <c r="W274" s="37"/>
      <c r="X274" s="37"/>
      <c r="Y274" s="37"/>
      <c r="Z274" s="37"/>
      <c r="AA274" s="42"/>
      <c r="AB274" s="91"/>
      <c r="AC274" s="40"/>
      <c r="AD274" s="42"/>
      <c r="AE274" s="42"/>
      <c r="AF274" s="42"/>
      <c r="AG274" s="245"/>
      <c r="AH274" s="246"/>
      <c r="AI274" s="265"/>
      <c r="AJ274" s="150"/>
      <c r="AK274" s="265"/>
      <c r="AL274" s="150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</row>
    <row r="275" spans="1:65" x14ac:dyDescent="0.2">
      <c r="A275" s="129"/>
      <c r="B275" s="33" t="str">
        <f t="shared" si="10"/>
        <v>------S</v>
      </c>
      <c r="C275" s="42"/>
      <c r="D275" s="68"/>
      <c r="E275" s="68"/>
      <c r="F275" s="41"/>
      <c r="G275" s="41"/>
      <c r="H275" s="196"/>
      <c r="I275" s="266"/>
      <c r="J275" s="163"/>
      <c r="K275" s="34"/>
      <c r="L275" s="35"/>
      <c r="M275" s="247"/>
      <c r="N275" s="158"/>
      <c r="O275" s="158"/>
      <c r="P275" s="158"/>
      <c r="Q275" s="267"/>
      <c r="R275" s="37"/>
      <c r="S275" s="39"/>
      <c r="T275" s="37"/>
      <c r="U275" s="37"/>
      <c r="V275" s="37"/>
      <c r="W275" s="37"/>
      <c r="X275" s="37"/>
      <c r="Y275" s="37"/>
      <c r="Z275" s="37"/>
      <c r="AA275" s="42"/>
      <c r="AB275" s="91"/>
      <c r="AC275" s="40"/>
      <c r="AD275" s="42"/>
      <c r="AE275" s="42"/>
      <c r="AF275" s="42"/>
      <c r="AG275" s="245"/>
      <c r="AH275" s="246"/>
      <c r="AI275" s="265"/>
      <c r="AJ275" s="150"/>
      <c r="AK275" s="265"/>
      <c r="AL275" s="150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</row>
    <row r="276" spans="1:65" x14ac:dyDescent="0.2">
      <c r="A276" s="129"/>
      <c r="B276" s="33" t="str">
        <f t="shared" si="10"/>
        <v>------S</v>
      </c>
      <c r="C276" s="42"/>
      <c r="D276" s="68"/>
      <c r="E276" s="68"/>
      <c r="F276" s="41"/>
      <c r="G276" s="41"/>
      <c r="H276" s="196"/>
      <c r="I276" s="266"/>
      <c r="J276" s="163"/>
      <c r="K276" s="34"/>
      <c r="L276" s="35"/>
      <c r="M276" s="247"/>
      <c r="N276" s="158"/>
      <c r="O276" s="158"/>
      <c r="P276" s="158"/>
      <c r="Q276" s="267"/>
      <c r="R276" s="37"/>
      <c r="S276" s="39"/>
      <c r="T276" s="37"/>
      <c r="U276" s="37"/>
      <c r="V276" s="37"/>
      <c r="W276" s="37"/>
      <c r="X276" s="37"/>
      <c r="Y276" s="37"/>
      <c r="Z276" s="37"/>
      <c r="AA276" s="42"/>
      <c r="AB276" s="91"/>
      <c r="AC276" s="40"/>
      <c r="AD276" s="42"/>
      <c r="AE276" s="42"/>
      <c r="AF276" s="42"/>
      <c r="AG276" s="245"/>
      <c r="AH276" s="246"/>
      <c r="AI276" s="265"/>
      <c r="AJ276" s="150"/>
      <c r="AK276" s="265"/>
      <c r="AL276" s="150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</row>
    <row r="277" spans="1:65" x14ac:dyDescent="0.2">
      <c r="A277" s="129"/>
      <c r="B277" s="33" t="str">
        <f t="shared" si="10"/>
        <v>------S</v>
      </c>
      <c r="C277" s="42"/>
      <c r="D277" s="68"/>
      <c r="E277" s="68"/>
      <c r="F277" s="41"/>
      <c r="G277" s="196"/>
      <c r="H277" s="196"/>
      <c r="I277" s="266"/>
      <c r="J277" s="163"/>
      <c r="K277" s="34"/>
      <c r="L277" s="35"/>
      <c r="M277" s="247"/>
      <c r="N277" s="158"/>
      <c r="O277" s="158"/>
      <c r="P277" s="158"/>
      <c r="Q277" s="267"/>
      <c r="R277" s="37"/>
      <c r="S277" s="39"/>
      <c r="T277" s="37"/>
      <c r="U277" s="37"/>
      <c r="V277" s="37"/>
      <c r="W277" s="37"/>
      <c r="X277" s="37"/>
      <c r="Y277" s="37"/>
      <c r="Z277" s="37"/>
      <c r="AA277" s="42"/>
      <c r="AB277" s="91"/>
      <c r="AC277" s="40"/>
      <c r="AD277" s="42"/>
      <c r="AE277" s="42"/>
      <c r="AF277" s="42"/>
      <c r="AG277" s="245"/>
      <c r="AH277" s="246"/>
      <c r="AI277" s="265"/>
      <c r="AJ277" s="150"/>
      <c r="AK277" s="265"/>
      <c r="AL277" s="150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</row>
    <row r="278" spans="1:65" x14ac:dyDescent="0.2">
      <c r="A278" s="129"/>
      <c r="B278" s="33" t="str">
        <f t="shared" si="10"/>
        <v>------S</v>
      </c>
      <c r="C278" s="42"/>
      <c r="D278" s="68"/>
      <c r="E278" s="68"/>
      <c r="F278" s="41"/>
      <c r="G278" s="41"/>
      <c r="H278" s="196"/>
      <c r="I278" s="266"/>
      <c r="J278" s="163"/>
      <c r="K278" s="34"/>
      <c r="L278" s="35"/>
      <c r="M278" s="247"/>
      <c r="N278" s="158"/>
      <c r="O278" s="158"/>
      <c r="P278" s="158"/>
      <c r="Q278" s="267"/>
      <c r="R278" s="37"/>
      <c r="S278" s="39"/>
      <c r="T278" s="37"/>
      <c r="U278" s="37"/>
      <c r="V278" s="37"/>
      <c r="W278" s="37"/>
      <c r="X278" s="37"/>
      <c r="Y278" s="37"/>
      <c r="Z278" s="37"/>
      <c r="AA278" s="42"/>
      <c r="AB278" s="91"/>
      <c r="AC278" s="40"/>
      <c r="AD278" s="42"/>
      <c r="AE278" s="42"/>
      <c r="AF278" s="42"/>
      <c r="AG278" s="245"/>
      <c r="AH278" s="246"/>
      <c r="AI278" s="265"/>
      <c r="AJ278" s="150"/>
      <c r="AK278" s="265"/>
      <c r="AL278" s="150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</row>
    <row r="279" spans="1:65" x14ac:dyDescent="0.2">
      <c r="A279" s="129"/>
      <c r="B279" s="33" t="str">
        <f t="shared" si="10"/>
        <v>------S</v>
      </c>
      <c r="C279" s="42"/>
      <c r="D279" s="68"/>
      <c r="E279" s="68"/>
      <c r="F279" s="41"/>
      <c r="G279" s="41"/>
      <c r="H279" s="196"/>
      <c r="I279" s="266"/>
      <c r="J279" s="163"/>
      <c r="K279" s="34"/>
      <c r="L279" s="35"/>
      <c r="M279" s="247"/>
      <c r="N279" s="158"/>
      <c r="O279" s="158"/>
      <c r="P279" s="158"/>
      <c r="Q279" s="267"/>
      <c r="R279" s="37"/>
      <c r="S279" s="39"/>
      <c r="T279" s="37"/>
      <c r="U279" s="37"/>
      <c r="V279" s="37"/>
      <c r="W279" s="37"/>
      <c r="X279" s="37"/>
      <c r="Y279" s="37"/>
      <c r="Z279" s="37"/>
      <c r="AA279" s="42"/>
      <c r="AB279" s="91"/>
      <c r="AC279" s="40"/>
      <c r="AD279" s="42"/>
      <c r="AE279" s="42"/>
      <c r="AF279" s="42"/>
      <c r="AG279" s="245"/>
      <c r="AH279" s="246"/>
      <c r="AI279" s="265"/>
      <c r="AJ279" s="150"/>
      <c r="AK279" s="265"/>
      <c r="AL279" s="150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</row>
    <row r="280" spans="1:65" x14ac:dyDescent="0.2">
      <c r="A280" s="129"/>
      <c r="B280" s="33" t="str">
        <f t="shared" si="10"/>
        <v>------S</v>
      </c>
      <c r="C280" s="42"/>
      <c r="D280" s="68"/>
      <c r="E280" s="68"/>
      <c r="F280" s="41"/>
      <c r="G280" s="41"/>
      <c r="H280" s="196"/>
      <c r="I280" s="266"/>
      <c r="J280" s="163"/>
      <c r="K280" s="34"/>
      <c r="L280" s="35"/>
      <c r="M280" s="247"/>
      <c r="N280" s="158"/>
      <c r="O280" s="158"/>
      <c r="P280" s="158"/>
      <c r="Q280" s="267"/>
      <c r="R280" s="37"/>
      <c r="S280" s="39"/>
      <c r="T280" s="37"/>
      <c r="U280" s="37"/>
      <c r="V280" s="37"/>
      <c r="W280" s="37"/>
      <c r="X280" s="37"/>
      <c r="Y280" s="37"/>
      <c r="Z280" s="37"/>
      <c r="AA280" s="42"/>
      <c r="AB280" s="91"/>
      <c r="AC280" s="40"/>
      <c r="AD280" s="42"/>
      <c r="AE280" s="42"/>
      <c r="AF280" s="42"/>
      <c r="AG280" s="245"/>
      <c r="AH280" s="246"/>
      <c r="AI280" s="265"/>
      <c r="AJ280" s="150"/>
      <c r="AK280" s="265"/>
      <c r="AL280" s="150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</row>
    <row r="281" spans="1:65" x14ac:dyDescent="0.2">
      <c r="A281" s="129"/>
      <c r="B281" s="33" t="str">
        <f t="shared" si="10"/>
        <v>------S</v>
      </c>
      <c r="C281" s="42"/>
      <c r="D281" s="68"/>
      <c r="E281" s="68"/>
      <c r="F281" s="41"/>
      <c r="G281" s="41"/>
      <c r="H281" s="196"/>
      <c r="I281" s="266"/>
      <c r="J281" s="163"/>
      <c r="K281" s="34"/>
      <c r="L281" s="35"/>
      <c r="M281" s="247"/>
      <c r="N281" s="158"/>
      <c r="O281" s="158"/>
      <c r="P281" s="158"/>
      <c r="Q281" s="267"/>
      <c r="R281" s="37"/>
      <c r="S281" s="39"/>
      <c r="T281" s="37"/>
      <c r="U281" s="37"/>
      <c r="V281" s="37"/>
      <c r="W281" s="37"/>
      <c r="X281" s="37"/>
      <c r="Y281" s="37"/>
      <c r="Z281" s="37"/>
      <c r="AA281" s="42"/>
      <c r="AB281" s="91"/>
      <c r="AC281" s="40"/>
      <c r="AD281" s="42"/>
      <c r="AE281" s="42"/>
      <c r="AF281" s="42"/>
      <c r="AG281" s="245"/>
      <c r="AH281" s="246"/>
      <c r="AI281" s="265"/>
      <c r="AJ281" s="150"/>
      <c r="AK281" s="265"/>
      <c r="AL281" s="150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</row>
    <row r="282" spans="1:65" x14ac:dyDescent="0.2">
      <c r="A282" s="129"/>
      <c r="B282" s="33" t="str">
        <f t="shared" si="10"/>
        <v>------S</v>
      </c>
      <c r="C282" s="42"/>
      <c r="D282" s="68"/>
      <c r="E282" s="68"/>
      <c r="F282" s="41"/>
      <c r="G282" s="41"/>
      <c r="H282" s="196"/>
      <c r="I282" s="266"/>
      <c r="J282" s="163"/>
      <c r="K282" s="34"/>
      <c r="L282" s="35"/>
      <c r="M282" s="247"/>
      <c r="N282" s="158"/>
      <c r="O282" s="158"/>
      <c r="P282" s="158"/>
      <c r="Q282" s="267"/>
      <c r="R282" s="37"/>
      <c r="S282" s="39"/>
      <c r="T282" s="37"/>
      <c r="U282" s="37"/>
      <c r="V282" s="37"/>
      <c r="W282" s="37"/>
      <c r="X282" s="37"/>
      <c r="Y282" s="37"/>
      <c r="Z282" s="37"/>
      <c r="AA282" s="42"/>
      <c r="AB282" s="91"/>
      <c r="AC282" s="40"/>
      <c r="AD282" s="42"/>
      <c r="AE282" s="42"/>
      <c r="AF282" s="42"/>
      <c r="AG282" s="245"/>
      <c r="AH282" s="246"/>
      <c r="AI282" s="265"/>
      <c r="AJ282" s="150"/>
      <c r="AK282" s="265"/>
      <c r="AL282" s="150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</row>
    <row r="283" spans="1:65" x14ac:dyDescent="0.2">
      <c r="A283" s="129"/>
      <c r="B283" s="33" t="str">
        <f t="shared" si="10"/>
        <v>------S</v>
      </c>
      <c r="C283" s="42"/>
      <c r="D283" s="68"/>
      <c r="E283" s="41"/>
      <c r="F283" s="41"/>
      <c r="G283" s="41"/>
      <c r="H283" s="41"/>
      <c r="I283" s="266"/>
      <c r="J283" s="163"/>
      <c r="K283" s="34"/>
      <c r="L283" s="35"/>
      <c r="M283" s="247"/>
      <c r="N283" s="158"/>
      <c r="O283" s="158"/>
      <c r="P283" s="158"/>
      <c r="Q283" s="267"/>
      <c r="R283" s="37"/>
      <c r="S283" s="39"/>
      <c r="T283" s="37"/>
      <c r="U283" s="37"/>
      <c r="V283" s="37"/>
      <c r="W283" s="37"/>
      <c r="X283" s="37"/>
      <c r="Y283" s="37"/>
      <c r="Z283" s="37"/>
      <c r="AA283" s="42"/>
      <c r="AB283" s="91"/>
      <c r="AC283" s="40"/>
      <c r="AD283" s="42"/>
      <c r="AE283" s="42"/>
      <c r="AF283" s="42"/>
      <c r="AG283" s="245"/>
      <c r="AH283" s="246"/>
      <c r="AI283" s="265"/>
      <c r="AJ283" s="150"/>
      <c r="AK283" s="265"/>
      <c r="AL283" s="150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</row>
    <row r="284" spans="1:65" x14ac:dyDescent="0.2">
      <c r="A284" s="129"/>
      <c r="B284" s="33" t="str">
        <f t="shared" si="10"/>
        <v>------S</v>
      </c>
      <c r="C284" s="42"/>
      <c r="D284" s="68"/>
      <c r="E284" s="68"/>
      <c r="F284" s="68"/>
      <c r="G284" s="41"/>
      <c r="H284" s="196"/>
      <c r="I284" s="266"/>
      <c r="J284" s="163"/>
      <c r="K284" s="34"/>
      <c r="L284" s="35"/>
      <c r="M284" s="247"/>
      <c r="N284" s="158"/>
      <c r="O284" s="158"/>
      <c r="P284" s="158"/>
      <c r="Q284" s="267"/>
      <c r="R284" s="37"/>
      <c r="S284" s="39"/>
      <c r="T284" s="37"/>
      <c r="U284" s="37"/>
      <c r="V284" s="37"/>
      <c r="W284" s="37"/>
      <c r="X284" s="37"/>
      <c r="Y284" s="37"/>
      <c r="Z284" s="37"/>
      <c r="AA284" s="42"/>
      <c r="AB284" s="91"/>
      <c r="AC284" s="40"/>
      <c r="AD284" s="42"/>
      <c r="AE284" s="42"/>
      <c r="AF284" s="42"/>
      <c r="AG284" s="245"/>
      <c r="AH284" s="246"/>
      <c r="AI284" s="265"/>
      <c r="AJ284" s="150"/>
      <c r="AK284" s="265"/>
      <c r="AL284" s="150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</row>
    <row r="285" spans="1:65" x14ac:dyDescent="0.2">
      <c r="A285" s="129"/>
      <c r="B285" s="33" t="str">
        <f t="shared" si="10"/>
        <v>------S</v>
      </c>
      <c r="C285" s="42"/>
      <c r="D285" s="68"/>
      <c r="E285" s="68"/>
      <c r="F285" s="68"/>
      <c r="G285" s="196"/>
      <c r="H285" s="196"/>
      <c r="I285" s="266"/>
      <c r="J285" s="163"/>
      <c r="K285" s="34"/>
      <c r="L285" s="35"/>
      <c r="M285" s="247"/>
      <c r="N285" s="158"/>
      <c r="O285" s="158"/>
      <c r="P285" s="158"/>
      <c r="Q285" s="267"/>
      <c r="R285" s="37"/>
      <c r="S285" s="39"/>
      <c r="T285" s="37"/>
      <c r="U285" s="37"/>
      <c r="V285" s="37"/>
      <c r="W285" s="37"/>
      <c r="X285" s="37"/>
      <c r="Y285" s="37"/>
      <c r="Z285" s="37"/>
      <c r="AA285" s="42"/>
      <c r="AB285" s="91"/>
      <c r="AC285" s="40"/>
      <c r="AD285" s="42"/>
      <c r="AE285" s="42"/>
      <c r="AF285" s="42"/>
      <c r="AG285" s="245"/>
      <c r="AH285" s="246"/>
      <c r="AI285" s="265"/>
      <c r="AJ285" s="150"/>
      <c r="AK285" s="265"/>
      <c r="AL285" s="150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</row>
    <row r="286" spans="1:65" x14ac:dyDescent="0.2">
      <c r="A286" s="129"/>
      <c r="B286" s="33" t="str">
        <f t="shared" si="10"/>
        <v>------S</v>
      </c>
      <c r="C286" s="42"/>
      <c r="D286" s="68"/>
      <c r="E286" s="41"/>
      <c r="F286" s="41"/>
      <c r="G286" s="41"/>
      <c r="H286" s="41"/>
      <c r="I286" s="266"/>
      <c r="J286" s="163"/>
      <c r="K286" s="34"/>
      <c r="L286" s="35"/>
      <c r="M286" s="247"/>
      <c r="N286" s="158"/>
      <c r="O286" s="158"/>
      <c r="P286" s="158"/>
      <c r="Q286" s="267"/>
      <c r="R286" s="37"/>
      <c r="S286" s="39"/>
      <c r="T286" s="37"/>
      <c r="U286" s="37"/>
      <c r="V286" s="37"/>
      <c r="W286" s="37"/>
      <c r="X286" s="37"/>
      <c r="Y286" s="37"/>
      <c r="Z286" s="37"/>
      <c r="AA286" s="42"/>
      <c r="AB286" s="91"/>
      <c r="AC286" s="40"/>
      <c r="AD286" s="42"/>
      <c r="AE286" s="42"/>
      <c r="AF286" s="42"/>
      <c r="AG286" s="245"/>
      <c r="AH286" s="246"/>
      <c r="AI286" s="265"/>
      <c r="AJ286" s="150"/>
      <c r="AK286" s="265"/>
      <c r="AL286" s="150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</row>
    <row r="287" spans="1:65" x14ac:dyDescent="0.2">
      <c r="A287" s="129"/>
      <c r="B287" s="33" t="str">
        <f t="shared" si="10"/>
        <v>------S</v>
      </c>
      <c r="C287" s="42"/>
      <c r="D287" s="68"/>
      <c r="E287" s="68"/>
      <c r="F287" s="68"/>
      <c r="G287" s="196"/>
      <c r="H287" s="196"/>
      <c r="I287" s="266"/>
      <c r="J287" s="163"/>
      <c r="K287" s="34"/>
      <c r="L287" s="35"/>
      <c r="M287" s="247"/>
      <c r="N287" s="158"/>
      <c r="O287" s="158"/>
      <c r="P287" s="158"/>
      <c r="Q287" s="267"/>
      <c r="R287" s="37"/>
      <c r="S287" s="39"/>
      <c r="T287" s="37"/>
      <c r="U287" s="37"/>
      <c r="V287" s="37"/>
      <c r="W287" s="37"/>
      <c r="X287" s="37"/>
      <c r="Y287" s="37"/>
      <c r="Z287" s="37"/>
      <c r="AA287" s="42"/>
      <c r="AB287" s="91"/>
      <c r="AC287" s="40"/>
      <c r="AD287" s="42"/>
      <c r="AE287" s="42"/>
      <c r="AF287" s="42"/>
      <c r="AG287" s="245"/>
      <c r="AH287" s="246"/>
      <c r="AI287" s="265"/>
      <c r="AJ287" s="150"/>
      <c r="AK287" s="265"/>
      <c r="AL287" s="150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</row>
    <row r="288" spans="1:65" x14ac:dyDescent="0.2">
      <c r="A288" s="129"/>
      <c r="B288" s="33" t="str">
        <f t="shared" si="10"/>
        <v>------S</v>
      </c>
      <c r="C288" s="42"/>
      <c r="D288" s="68"/>
      <c r="E288" s="68"/>
      <c r="F288" s="68"/>
      <c r="G288" s="196"/>
      <c r="H288" s="196"/>
      <c r="I288" s="266"/>
      <c r="J288" s="163"/>
      <c r="K288" s="34"/>
      <c r="L288" s="35"/>
      <c r="M288" s="247"/>
      <c r="N288" s="158"/>
      <c r="O288" s="158"/>
      <c r="P288" s="158"/>
      <c r="Q288" s="267"/>
      <c r="R288" s="37"/>
      <c r="S288" s="39"/>
      <c r="T288" s="37"/>
      <c r="U288" s="37"/>
      <c r="V288" s="37"/>
      <c r="W288" s="37"/>
      <c r="X288" s="37"/>
      <c r="Y288" s="37"/>
      <c r="Z288" s="37"/>
      <c r="AA288" s="42"/>
      <c r="AB288" s="91"/>
      <c r="AC288" s="40"/>
      <c r="AD288" s="42"/>
      <c r="AE288" s="42"/>
      <c r="AF288" s="42"/>
      <c r="AG288" s="245"/>
      <c r="AH288" s="246"/>
      <c r="AI288" s="265"/>
      <c r="AJ288" s="150"/>
      <c r="AK288" s="265"/>
      <c r="AL288" s="150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</row>
    <row r="289" spans="1:65" x14ac:dyDescent="0.2">
      <c r="A289" s="129"/>
      <c r="B289" s="33" t="str">
        <f t="shared" si="10"/>
        <v>------S</v>
      </c>
      <c r="C289" s="42"/>
      <c r="D289" s="68"/>
      <c r="E289" s="68"/>
      <c r="F289" s="68"/>
      <c r="G289" s="41"/>
      <c r="H289" s="196"/>
      <c r="I289" s="266"/>
      <c r="J289" s="163"/>
      <c r="K289" s="34"/>
      <c r="L289" s="35"/>
      <c r="M289" s="247"/>
      <c r="N289" s="158"/>
      <c r="O289" s="158"/>
      <c r="P289" s="158"/>
      <c r="Q289" s="267"/>
      <c r="R289" s="37"/>
      <c r="S289" s="39"/>
      <c r="T289" s="37"/>
      <c r="U289" s="37"/>
      <c r="V289" s="37"/>
      <c r="W289" s="37"/>
      <c r="X289" s="37"/>
      <c r="Y289" s="37"/>
      <c r="Z289" s="37"/>
      <c r="AA289" s="42"/>
      <c r="AB289" s="91"/>
      <c r="AC289" s="40"/>
      <c r="AD289" s="42"/>
      <c r="AE289" s="42"/>
      <c r="AF289" s="42"/>
      <c r="AG289" s="245"/>
      <c r="AH289" s="246"/>
      <c r="AI289" s="265"/>
      <c r="AJ289" s="150"/>
      <c r="AK289" s="265"/>
      <c r="AL289" s="150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</row>
    <row r="290" spans="1:65" x14ac:dyDescent="0.2">
      <c r="A290" s="129"/>
      <c r="B290" s="33" t="str">
        <f t="shared" si="10"/>
        <v>------S</v>
      </c>
      <c r="C290" s="42"/>
      <c r="D290" s="68"/>
      <c r="E290" s="68"/>
      <c r="F290" s="68"/>
      <c r="G290" s="41"/>
      <c r="H290" s="196"/>
      <c r="I290" s="266"/>
      <c r="J290" s="163"/>
      <c r="K290" s="34"/>
      <c r="L290" s="35"/>
      <c r="M290" s="247"/>
      <c r="N290" s="158"/>
      <c r="O290" s="158"/>
      <c r="P290" s="158"/>
      <c r="Q290" s="267"/>
      <c r="R290" s="37"/>
      <c r="S290" s="39"/>
      <c r="T290" s="37"/>
      <c r="U290" s="37"/>
      <c r="V290" s="37"/>
      <c r="W290" s="37"/>
      <c r="X290" s="37"/>
      <c r="Y290" s="37"/>
      <c r="Z290" s="37"/>
      <c r="AA290" s="42"/>
      <c r="AB290" s="91"/>
      <c r="AC290" s="40"/>
      <c r="AD290" s="42"/>
      <c r="AE290" s="42"/>
      <c r="AF290" s="42"/>
      <c r="AG290" s="245"/>
      <c r="AH290" s="246"/>
      <c r="AI290" s="265"/>
      <c r="AJ290" s="150"/>
      <c r="AK290" s="265"/>
      <c r="AL290" s="150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</row>
    <row r="291" spans="1:65" x14ac:dyDescent="0.2">
      <c r="A291" s="129"/>
      <c r="B291" s="33" t="str">
        <f t="shared" si="10"/>
        <v>------S</v>
      </c>
      <c r="C291" s="42"/>
      <c r="D291" s="68"/>
      <c r="E291" s="68"/>
      <c r="F291" s="68"/>
      <c r="G291" s="41"/>
      <c r="H291" s="196"/>
      <c r="I291" s="266"/>
      <c r="J291" s="163"/>
      <c r="K291" s="34"/>
      <c r="L291" s="35"/>
      <c r="M291" s="247"/>
      <c r="N291" s="158"/>
      <c r="O291" s="158"/>
      <c r="P291" s="158"/>
      <c r="Q291" s="267"/>
      <c r="R291" s="37"/>
      <c r="S291" s="39"/>
      <c r="T291" s="37"/>
      <c r="U291" s="37"/>
      <c r="V291" s="37"/>
      <c r="W291" s="37"/>
      <c r="X291" s="37"/>
      <c r="Y291" s="37"/>
      <c r="Z291" s="37"/>
      <c r="AA291" s="42"/>
      <c r="AB291" s="91"/>
      <c r="AC291" s="40"/>
      <c r="AD291" s="42"/>
      <c r="AE291" s="42"/>
      <c r="AF291" s="42"/>
      <c r="AG291" s="245"/>
      <c r="AH291" s="246"/>
      <c r="AI291" s="265"/>
      <c r="AJ291" s="150"/>
      <c r="AK291" s="265"/>
      <c r="AL291" s="150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</row>
    <row r="292" spans="1:65" x14ac:dyDescent="0.2">
      <c r="A292" s="129"/>
      <c r="B292" s="33" t="str">
        <f t="shared" si="10"/>
        <v>------S</v>
      </c>
      <c r="C292" s="42"/>
      <c r="D292" s="68"/>
      <c r="E292" s="68"/>
      <c r="F292" s="68"/>
      <c r="G292" s="41"/>
      <c r="H292" s="196"/>
      <c r="I292" s="266"/>
      <c r="J292" s="163"/>
      <c r="K292" s="34"/>
      <c r="L292" s="35"/>
      <c r="M292" s="247"/>
      <c r="N292" s="158"/>
      <c r="O292" s="158"/>
      <c r="P292" s="158"/>
      <c r="Q292" s="267"/>
      <c r="R292" s="37"/>
      <c r="S292" s="39"/>
      <c r="T292" s="37"/>
      <c r="U292" s="37"/>
      <c r="V292" s="37"/>
      <c r="W292" s="37"/>
      <c r="X292" s="37"/>
      <c r="Y292" s="37"/>
      <c r="Z292" s="37"/>
      <c r="AA292" s="42"/>
      <c r="AB292" s="91"/>
      <c r="AC292" s="40"/>
      <c r="AD292" s="42"/>
      <c r="AE292" s="42"/>
      <c r="AF292" s="42"/>
      <c r="AG292" s="245"/>
      <c r="AH292" s="246"/>
      <c r="AI292" s="265"/>
      <c r="AJ292" s="150"/>
      <c r="AK292" s="265"/>
      <c r="AL292" s="150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</row>
    <row r="293" spans="1:65" x14ac:dyDescent="0.2">
      <c r="A293" s="129"/>
      <c r="B293" s="33" t="str">
        <f t="shared" si="10"/>
        <v>------S</v>
      </c>
      <c r="C293" s="42"/>
      <c r="D293" s="68"/>
      <c r="E293" s="68"/>
      <c r="F293" s="68"/>
      <c r="G293" s="196"/>
      <c r="H293" s="196"/>
      <c r="I293" s="266"/>
      <c r="J293" s="163"/>
      <c r="K293" s="34"/>
      <c r="L293" s="35"/>
      <c r="M293" s="247"/>
      <c r="N293" s="158"/>
      <c r="O293" s="158"/>
      <c r="P293" s="158"/>
      <c r="Q293" s="267"/>
      <c r="R293" s="37"/>
      <c r="S293" s="39"/>
      <c r="T293" s="37"/>
      <c r="U293" s="37"/>
      <c r="V293" s="37"/>
      <c r="W293" s="37"/>
      <c r="X293" s="37"/>
      <c r="Y293" s="37"/>
      <c r="Z293" s="37"/>
      <c r="AA293" s="42"/>
      <c r="AB293" s="91"/>
      <c r="AC293" s="40"/>
      <c r="AD293" s="42"/>
      <c r="AE293" s="42"/>
      <c r="AF293" s="42"/>
      <c r="AG293" s="245"/>
      <c r="AH293" s="246"/>
      <c r="AI293" s="265"/>
      <c r="AJ293" s="150"/>
      <c r="AK293" s="265"/>
      <c r="AL293" s="150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</row>
    <row r="294" spans="1:65" x14ac:dyDescent="0.2">
      <c r="A294" s="129"/>
      <c r="B294" s="33" t="str">
        <f t="shared" si="10"/>
        <v>------S</v>
      </c>
      <c r="C294" s="42"/>
      <c r="D294" s="68"/>
      <c r="E294" s="68"/>
      <c r="F294" s="68"/>
      <c r="G294" s="196"/>
      <c r="H294" s="196"/>
      <c r="I294" s="266"/>
      <c r="J294" s="163"/>
      <c r="K294" s="34"/>
      <c r="L294" s="35"/>
      <c r="M294" s="247"/>
      <c r="N294" s="158"/>
      <c r="O294" s="158"/>
      <c r="P294" s="158"/>
      <c r="Q294" s="267"/>
      <c r="R294" s="37"/>
      <c r="S294" s="39"/>
      <c r="T294" s="37"/>
      <c r="U294" s="37"/>
      <c r="V294" s="37"/>
      <c r="W294" s="37"/>
      <c r="X294" s="37"/>
      <c r="Y294" s="37"/>
      <c r="Z294" s="37"/>
      <c r="AA294" s="42"/>
      <c r="AB294" s="91"/>
      <c r="AC294" s="40"/>
      <c r="AD294" s="42"/>
      <c r="AE294" s="42"/>
      <c r="AF294" s="42"/>
      <c r="AG294" s="245"/>
      <c r="AH294" s="246"/>
      <c r="AI294" s="265"/>
      <c r="AJ294" s="150"/>
      <c r="AK294" s="265"/>
      <c r="AL294" s="150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</row>
    <row r="295" spans="1:65" x14ac:dyDescent="0.2">
      <c r="A295" s="129"/>
      <c r="B295" s="33" t="str">
        <f t="shared" si="10"/>
        <v>------S</v>
      </c>
      <c r="C295" s="42"/>
      <c r="D295" s="68"/>
      <c r="E295" s="68"/>
      <c r="F295" s="68"/>
      <c r="G295" s="196"/>
      <c r="H295" s="196"/>
      <c r="I295" s="266"/>
      <c r="J295" s="163"/>
      <c r="K295" s="34"/>
      <c r="L295" s="35"/>
      <c r="M295" s="247"/>
      <c r="N295" s="158"/>
      <c r="O295" s="158"/>
      <c r="P295" s="158"/>
      <c r="Q295" s="267"/>
      <c r="R295" s="37"/>
      <c r="S295" s="39"/>
      <c r="T295" s="37"/>
      <c r="U295" s="37"/>
      <c r="V295" s="37"/>
      <c r="W295" s="37"/>
      <c r="X295" s="37"/>
      <c r="Y295" s="37"/>
      <c r="Z295" s="37"/>
      <c r="AA295" s="42"/>
      <c r="AB295" s="91"/>
      <c r="AC295" s="40"/>
      <c r="AD295" s="42"/>
      <c r="AE295" s="42"/>
      <c r="AF295" s="42"/>
      <c r="AG295" s="245"/>
      <c r="AH295" s="246"/>
      <c r="AI295" s="265"/>
      <c r="AJ295" s="150"/>
      <c r="AK295" s="265"/>
      <c r="AL295" s="150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</row>
    <row r="296" spans="1:65" x14ac:dyDescent="0.2">
      <c r="A296" s="129"/>
      <c r="B296" s="33" t="str">
        <f t="shared" si="10"/>
        <v>------S</v>
      </c>
      <c r="C296" s="42"/>
      <c r="D296" s="68"/>
      <c r="E296" s="68"/>
      <c r="F296" s="68"/>
      <c r="G296" s="41"/>
      <c r="H296" s="196"/>
      <c r="I296" s="266"/>
      <c r="J296" s="163"/>
      <c r="K296" s="34"/>
      <c r="L296" s="35"/>
      <c r="M296" s="247"/>
      <c r="N296" s="158"/>
      <c r="O296" s="158"/>
      <c r="P296" s="158"/>
      <c r="Q296" s="267"/>
      <c r="R296" s="37"/>
      <c r="S296" s="39"/>
      <c r="T296" s="37"/>
      <c r="U296" s="37"/>
      <c r="V296" s="37"/>
      <c r="W296" s="37"/>
      <c r="X296" s="37"/>
      <c r="Y296" s="37"/>
      <c r="Z296" s="37"/>
      <c r="AA296" s="42"/>
      <c r="AB296" s="91"/>
      <c r="AC296" s="40"/>
      <c r="AD296" s="42"/>
      <c r="AE296" s="42"/>
      <c r="AF296" s="42"/>
      <c r="AG296" s="245"/>
      <c r="AH296" s="246"/>
      <c r="AI296" s="265"/>
      <c r="AJ296" s="150"/>
      <c r="AK296" s="265"/>
      <c r="AL296" s="150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</row>
    <row r="297" spans="1:65" x14ac:dyDescent="0.2">
      <c r="A297" s="129"/>
      <c r="B297" s="33" t="str">
        <f t="shared" si="10"/>
        <v>------S</v>
      </c>
      <c r="C297" s="42"/>
      <c r="D297" s="68"/>
      <c r="E297" s="68"/>
      <c r="F297" s="68"/>
      <c r="G297" s="41"/>
      <c r="H297" s="196"/>
      <c r="I297" s="266"/>
      <c r="J297" s="163"/>
      <c r="K297" s="34"/>
      <c r="L297" s="35"/>
      <c r="M297" s="247"/>
      <c r="N297" s="158"/>
      <c r="O297" s="158"/>
      <c r="P297" s="158"/>
      <c r="Q297" s="267"/>
      <c r="R297" s="37"/>
      <c r="S297" s="39"/>
      <c r="T297" s="37"/>
      <c r="U297" s="37"/>
      <c r="V297" s="37"/>
      <c r="W297" s="37"/>
      <c r="X297" s="37"/>
      <c r="Y297" s="37"/>
      <c r="Z297" s="37"/>
      <c r="AA297" s="42"/>
      <c r="AB297" s="91"/>
      <c r="AC297" s="40"/>
      <c r="AD297" s="42"/>
      <c r="AE297" s="42"/>
      <c r="AF297" s="42"/>
      <c r="AG297" s="245"/>
      <c r="AH297" s="246"/>
      <c r="AI297" s="265"/>
      <c r="AJ297" s="150"/>
      <c r="AK297" s="265"/>
      <c r="AL297" s="150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</row>
    <row r="298" spans="1:65" x14ac:dyDescent="0.2">
      <c r="A298" s="129"/>
      <c r="B298" s="33" t="str">
        <f t="shared" si="10"/>
        <v>------S</v>
      </c>
      <c r="C298" s="42"/>
      <c r="D298" s="68"/>
      <c r="E298" s="68"/>
      <c r="F298" s="68"/>
      <c r="G298" s="41"/>
      <c r="H298" s="196"/>
      <c r="I298" s="266"/>
      <c r="J298" s="163"/>
      <c r="K298" s="34"/>
      <c r="L298" s="35"/>
      <c r="M298" s="247"/>
      <c r="N298" s="158"/>
      <c r="O298" s="158"/>
      <c r="P298" s="158"/>
      <c r="Q298" s="267"/>
      <c r="R298" s="37"/>
      <c r="S298" s="39"/>
      <c r="T298" s="37"/>
      <c r="U298" s="37"/>
      <c r="V298" s="37"/>
      <c r="W298" s="37"/>
      <c r="X298" s="37"/>
      <c r="Y298" s="37"/>
      <c r="Z298" s="37"/>
      <c r="AA298" s="42"/>
      <c r="AB298" s="91"/>
      <c r="AC298" s="40"/>
      <c r="AD298" s="42"/>
      <c r="AE298" s="42"/>
      <c r="AF298" s="42"/>
      <c r="AG298" s="245"/>
      <c r="AH298" s="246"/>
      <c r="AI298" s="265"/>
      <c r="AJ298" s="150"/>
      <c r="AK298" s="265"/>
      <c r="AL298" s="150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</row>
    <row r="299" spans="1:65" x14ac:dyDescent="0.2">
      <c r="A299" s="129"/>
      <c r="B299" s="33" t="str">
        <f t="shared" si="10"/>
        <v>------S</v>
      </c>
      <c r="C299" s="42"/>
      <c r="D299" s="68"/>
      <c r="E299" s="68"/>
      <c r="F299" s="68"/>
      <c r="G299" s="41"/>
      <c r="H299" s="196"/>
      <c r="I299" s="266"/>
      <c r="J299" s="163"/>
      <c r="K299" s="34"/>
      <c r="L299" s="35"/>
      <c r="M299" s="247"/>
      <c r="N299" s="158"/>
      <c r="O299" s="158"/>
      <c r="P299" s="158"/>
      <c r="Q299" s="267"/>
      <c r="R299" s="37"/>
      <c r="S299" s="39"/>
      <c r="T299" s="37"/>
      <c r="U299" s="37"/>
      <c r="V299" s="37"/>
      <c r="W299" s="37"/>
      <c r="X299" s="37"/>
      <c r="Y299" s="37"/>
      <c r="Z299" s="37"/>
      <c r="AA299" s="42"/>
      <c r="AB299" s="91"/>
      <c r="AC299" s="40"/>
      <c r="AD299" s="42"/>
      <c r="AE299" s="42"/>
      <c r="AF299" s="42"/>
      <c r="AG299" s="245"/>
      <c r="AH299" s="246"/>
      <c r="AI299" s="265"/>
      <c r="AJ299" s="150"/>
      <c r="AK299" s="265"/>
      <c r="AL299" s="150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</row>
    <row r="300" spans="1:65" x14ac:dyDescent="0.2">
      <c r="A300" s="129"/>
      <c r="B300" s="33" t="str">
        <f t="shared" si="10"/>
        <v>------S</v>
      </c>
      <c r="C300" s="195"/>
      <c r="D300" s="195"/>
      <c r="E300" s="196"/>
      <c r="F300" s="41"/>
      <c r="G300" s="41"/>
      <c r="H300" s="41"/>
      <c r="I300" s="266"/>
      <c r="J300" s="163"/>
      <c r="K300" s="34"/>
      <c r="L300" s="35"/>
      <c r="M300" s="247"/>
      <c r="N300" s="158"/>
      <c r="O300" s="158"/>
      <c r="P300" s="158"/>
      <c r="Q300" s="267"/>
      <c r="R300" s="37"/>
      <c r="S300" s="39"/>
      <c r="T300" s="37"/>
      <c r="U300" s="37"/>
      <c r="V300" s="37"/>
      <c r="W300" s="37"/>
      <c r="X300" s="37"/>
      <c r="Y300" s="37"/>
      <c r="Z300" s="37"/>
      <c r="AA300" s="42"/>
      <c r="AB300" s="91"/>
      <c r="AC300" s="40"/>
      <c r="AD300" s="42"/>
      <c r="AE300" s="42"/>
      <c r="AF300" s="42"/>
      <c r="AG300" s="245"/>
      <c r="AH300" s="246"/>
      <c r="AI300" s="265"/>
      <c r="AJ300" s="150"/>
      <c r="AK300" s="265"/>
      <c r="AL300" s="150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</row>
    <row r="301" spans="1:65" x14ac:dyDescent="0.2">
      <c r="A301" s="129"/>
      <c r="B301" s="33" t="str">
        <f t="shared" si="10"/>
        <v>------S</v>
      </c>
      <c r="C301" s="42"/>
      <c r="D301" s="68"/>
      <c r="E301" s="68"/>
      <c r="F301" s="68"/>
      <c r="G301" s="41"/>
      <c r="H301" s="41"/>
      <c r="I301" s="266"/>
      <c r="J301" s="163"/>
      <c r="K301" s="34"/>
      <c r="L301" s="35"/>
      <c r="M301" s="247"/>
      <c r="N301" s="158"/>
      <c r="O301" s="158"/>
      <c r="P301" s="158"/>
      <c r="Q301" s="267"/>
      <c r="R301" s="37"/>
      <c r="S301" s="39"/>
      <c r="T301" s="37"/>
      <c r="U301" s="37"/>
      <c r="V301" s="37"/>
      <c r="W301" s="37"/>
      <c r="X301" s="37"/>
      <c r="Y301" s="37"/>
      <c r="Z301" s="37"/>
      <c r="AA301" s="42"/>
      <c r="AB301" s="91"/>
      <c r="AC301" s="40"/>
      <c r="AD301" s="42"/>
      <c r="AE301" s="42"/>
      <c r="AF301" s="42"/>
      <c r="AG301" s="38"/>
      <c r="AH301" s="64"/>
      <c r="AI301" s="265"/>
      <c r="AJ301" s="150"/>
      <c r="AK301" s="265"/>
      <c r="AL301" s="150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</row>
    <row r="302" spans="1:65" x14ac:dyDescent="0.2">
      <c r="A302" s="129"/>
      <c r="B302" s="33" t="str">
        <f t="shared" si="10"/>
        <v>------S</v>
      </c>
      <c r="C302" s="28"/>
      <c r="D302" s="28"/>
      <c r="E302" s="28"/>
      <c r="F302" s="28"/>
      <c r="G302" s="25"/>
      <c r="H302" s="25"/>
      <c r="I302" s="266"/>
      <c r="J302" s="163"/>
      <c r="K302" s="34"/>
      <c r="L302" s="35"/>
      <c r="M302" s="247"/>
      <c r="N302" s="158"/>
      <c r="O302" s="158"/>
      <c r="P302" s="158"/>
      <c r="Q302" s="267"/>
      <c r="R302" s="37"/>
      <c r="S302" s="39"/>
      <c r="T302" s="37"/>
      <c r="U302" s="37"/>
      <c r="V302" s="37"/>
      <c r="W302" s="37"/>
      <c r="X302" s="37"/>
      <c r="Y302" s="37"/>
      <c r="Z302" s="37"/>
      <c r="AA302" s="42"/>
      <c r="AB302" s="91"/>
      <c r="AC302" s="40"/>
      <c r="AD302" s="42"/>
      <c r="AE302" s="42"/>
      <c r="AF302" s="42"/>
      <c r="AG302" s="38"/>
      <c r="AH302" s="64"/>
      <c r="AI302" s="265"/>
      <c r="AJ302" s="150"/>
      <c r="AK302" s="265"/>
      <c r="AL302" s="150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</row>
    <row r="303" spans="1:65" x14ac:dyDescent="0.2">
      <c r="A303" s="129"/>
      <c r="B303" s="33" t="str">
        <f t="shared" si="10"/>
        <v>------S</v>
      </c>
      <c r="C303" s="28"/>
      <c r="D303" s="28"/>
      <c r="E303" s="28"/>
      <c r="F303" s="28"/>
      <c r="G303" s="25"/>
      <c r="H303" s="25"/>
      <c r="I303" s="266"/>
      <c r="J303" s="163"/>
      <c r="K303" s="34"/>
      <c r="L303" s="35"/>
      <c r="M303" s="247"/>
      <c r="N303" s="158"/>
      <c r="O303" s="158"/>
      <c r="P303" s="158"/>
      <c r="Q303" s="267"/>
      <c r="R303" s="37"/>
      <c r="S303" s="39"/>
      <c r="T303" s="37"/>
      <c r="U303" s="37"/>
      <c r="V303" s="37"/>
      <c r="W303" s="37"/>
      <c r="X303" s="37"/>
      <c r="Y303" s="37"/>
      <c r="Z303" s="37"/>
      <c r="AA303" s="42"/>
      <c r="AB303" s="91"/>
      <c r="AC303" s="40"/>
      <c r="AD303" s="42"/>
      <c r="AE303" s="42"/>
      <c r="AF303" s="42"/>
      <c r="AG303" s="38"/>
      <c r="AH303" s="64"/>
      <c r="AI303" s="265"/>
      <c r="AJ303" s="150"/>
      <c r="AK303" s="265"/>
      <c r="AL303" s="150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</row>
    <row r="304" spans="1:65" x14ac:dyDescent="0.2">
      <c r="A304" s="129"/>
      <c r="B304" s="33" t="str">
        <f t="shared" si="10"/>
        <v>------S</v>
      </c>
      <c r="C304" s="28"/>
      <c r="D304" s="28"/>
      <c r="E304" s="28"/>
      <c r="F304" s="28"/>
      <c r="G304" s="25"/>
      <c r="H304" s="25"/>
      <c r="I304" s="266"/>
      <c r="J304" s="163"/>
      <c r="K304" s="34"/>
      <c r="L304" s="35"/>
      <c r="M304" s="247"/>
      <c r="N304" s="158"/>
      <c r="O304" s="158"/>
      <c r="P304" s="158"/>
      <c r="Q304" s="267"/>
      <c r="R304" s="37"/>
      <c r="S304" s="39"/>
      <c r="T304" s="37"/>
      <c r="U304" s="37"/>
      <c r="V304" s="37"/>
      <c r="W304" s="37"/>
      <c r="X304" s="37"/>
      <c r="Y304" s="37"/>
      <c r="Z304" s="37"/>
      <c r="AA304" s="42"/>
      <c r="AB304" s="91"/>
      <c r="AC304" s="40"/>
      <c r="AD304" s="42"/>
      <c r="AE304" s="42"/>
      <c r="AF304" s="42"/>
      <c r="AG304" s="38"/>
      <c r="AH304" s="64"/>
      <c r="AI304" s="265"/>
      <c r="AJ304" s="150"/>
      <c r="AK304" s="265"/>
      <c r="AL304" s="150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</row>
    <row r="305" spans="1:65" x14ac:dyDescent="0.2">
      <c r="A305" s="129"/>
      <c r="B305" s="33" t="str">
        <f t="shared" si="10"/>
        <v>------S</v>
      </c>
      <c r="C305" s="28"/>
      <c r="D305" s="28"/>
      <c r="E305" s="28"/>
      <c r="F305" s="28"/>
      <c r="G305" s="25"/>
      <c r="H305" s="25"/>
      <c r="I305" s="226"/>
      <c r="J305" s="164"/>
      <c r="K305" s="25"/>
      <c r="L305" s="26"/>
      <c r="M305" s="269"/>
      <c r="N305" s="270"/>
      <c r="O305" s="270"/>
      <c r="P305" s="270"/>
      <c r="Q305" s="165"/>
      <c r="R305" s="22"/>
      <c r="S305" s="24"/>
      <c r="T305" s="22"/>
      <c r="U305" s="22"/>
      <c r="V305" s="22"/>
      <c r="W305" s="22"/>
      <c r="X305" s="22"/>
      <c r="Y305" s="22"/>
      <c r="Z305" s="22"/>
      <c r="AA305" s="42"/>
      <c r="AB305" s="91"/>
      <c r="AC305" s="40"/>
      <c r="AD305" s="42"/>
      <c r="AE305" s="42"/>
      <c r="AF305" s="42"/>
      <c r="AG305" s="38"/>
      <c r="AH305" s="64"/>
      <c r="AI305" s="265"/>
      <c r="AJ305" s="150"/>
      <c r="AK305" s="265"/>
      <c r="AL305" s="150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</row>
    <row r="306" spans="1:65" x14ac:dyDescent="0.2">
      <c r="A306" s="129"/>
      <c r="B306" s="32"/>
      <c r="C306" s="28"/>
      <c r="D306" s="28"/>
      <c r="E306" s="28"/>
      <c r="F306" s="28"/>
      <c r="G306" s="25"/>
      <c r="H306" s="25"/>
      <c r="I306" s="226"/>
      <c r="J306" s="28"/>
      <c r="K306" s="25"/>
      <c r="L306" s="26"/>
      <c r="M306" s="271"/>
      <c r="N306" s="272"/>
      <c r="O306" s="272"/>
      <c r="P306" s="272"/>
      <c r="Q306" s="165"/>
      <c r="R306" s="22"/>
      <c r="S306" s="24"/>
      <c r="T306" s="22"/>
      <c r="U306" s="22"/>
      <c r="V306" s="22"/>
      <c r="W306" s="22"/>
      <c r="X306" s="22"/>
      <c r="Y306" s="22"/>
      <c r="Z306" s="22"/>
      <c r="AA306" s="18"/>
      <c r="AB306" s="92"/>
      <c r="AC306" s="18"/>
      <c r="AD306" s="18"/>
      <c r="AE306" s="18"/>
      <c r="AF306" s="18"/>
      <c r="AG306" s="23"/>
      <c r="AH306" s="23"/>
      <c r="AI306" s="27"/>
      <c r="AJ306" s="88"/>
      <c r="AK306" s="261"/>
      <c r="AL306" s="88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</row>
    <row r="307" spans="1:65" x14ac:dyDescent="0.2">
      <c r="A307" s="129"/>
      <c r="B307" s="32"/>
      <c r="C307" s="28"/>
      <c r="D307" s="28"/>
      <c r="E307" s="28"/>
      <c r="F307" s="28"/>
      <c r="G307" s="25"/>
      <c r="H307" s="25"/>
      <c r="I307" s="226"/>
      <c r="J307" s="28"/>
      <c r="K307" s="25"/>
      <c r="L307" s="26"/>
      <c r="M307" s="271"/>
      <c r="N307" s="272"/>
      <c r="O307" s="272"/>
      <c r="P307" s="272"/>
      <c r="Q307" s="165"/>
      <c r="R307" s="22"/>
      <c r="S307" s="24"/>
      <c r="T307" s="22"/>
      <c r="U307" s="22"/>
      <c r="V307" s="22"/>
      <c r="W307" s="22"/>
      <c r="X307" s="22"/>
      <c r="Y307" s="22"/>
      <c r="Z307" s="22"/>
      <c r="AA307" s="18"/>
      <c r="AB307" s="92"/>
      <c r="AC307" s="18"/>
      <c r="AD307" s="18"/>
      <c r="AE307" s="18"/>
      <c r="AF307" s="18"/>
      <c r="AG307" s="23"/>
      <c r="AH307" s="23"/>
      <c r="AI307" s="27"/>
      <c r="AJ307" s="88"/>
      <c r="AK307" s="27"/>
      <c r="AL307" s="88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</row>
    <row r="308" spans="1:65" x14ac:dyDescent="0.2">
      <c r="A308" s="129"/>
      <c r="B308" s="32"/>
      <c r="C308" s="28"/>
      <c r="D308" s="28"/>
      <c r="E308" s="28"/>
      <c r="F308" s="28"/>
      <c r="G308" s="25"/>
      <c r="H308" s="25"/>
      <c r="I308" s="226"/>
      <c r="J308" s="28"/>
      <c r="K308" s="25"/>
      <c r="L308" s="26"/>
      <c r="M308" s="26"/>
      <c r="N308" s="26"/>
      <c r="O308" s="26"/>
      <c r="P308" s="26"/>
      <c r="Q308" s="165"/>
      <c r="R308" s="22"/>
      <c r="S308" s="24"/>
      <c r="T308" s="22"/>
      <c r="U308" s="22"/>
      <c r="V308" s="22"/>
      <c r="W308" s="22"/>
      <c r="X308" s="22"/>
      <c r="Y308" s="22"/>
      <c r="Z308" s="22"/>
      <c r="AA308" s="18"/>
      <c r="AB308" s="92"/>
      <c r="AC308" s="18"/>
      <c r="AD308" s="18"/>
      <c r="AE308" s="18"/>
      <c r="AF308" s="18"/>
      <c r="AG308" s="23"/>
      <c r="AH308" s="23"/>
      <c r="AI308" s="27"/>
      <c r="AJ308" s="88"/>
      <c r="AK308" s="27"/>
      <c r="AL308" s="88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</row>
    <row r="309" spans="1:65" x14ac:dyDescent="0.2">
      <c r="A309" s="129"/>
      <c r="B309" s="32"/>
      <c r="C309" s="28"/>
      <c r="D309" s="28"/>
      <c r="E309" s="28"/>
      <c r="F309" s="28"/>
      <c r="G309" s="25"/>
      <c r="H309" s="25"/>
      <c r="I309" s="226"/>
      <c r="J309" s="28"/>
      <c r="K309" s="25"/>
      <c r="L309" s="26"/>
      <c r="M309" s="26"/>
      <c r="N309" s="26"/>
      <c r="O309" s="26"/>
      <c r="P309" s="26"/>
      <c r="Q309" s="165"/>
      <c r="R309" s="22"/>
      <c r="S309" s="24"/>
      <c r="T309" s="22"/>
      <c r="U309" s="22"/>
      <c r="V309" s="22"/>
      <c r="W309" s="22"/>
      <c r="X309" s="22"/>
      <c r="Y309" s="22"/>
      <c r="Z309" s="22"/>
      <c r="AA309" s="18"/>
      <c r="AB309" s="92"/>
      <c r="AC309" s="18"/>
      <c r="AD309" s="18"/>
      <c r="AE309" s="18"/>
      <c r="AF309" s="18"/>
      <c r="AG309" s="23"/>
      <c r="AH309" s="23"/>
      <c r="AI309" s="27"/>
      <c r="AJ309" s="88"/>
      <c r="AK309" s="27"/>
      <c r="AL309" s="88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</row>
    <row r="310" spans="1:65" x14ac:dyDescent="0.2">
      <c r="A310" s="129"/>
      <c r="B310" s="32"/>
      <c r="C310" s="28"/>
      <c r="D310" s="28"/>
      <c r="E310" s="28"/>
      <c r="F310" s="28"/>
      <c r="G310" s="25"/>
      <c r="H310" s="25"/>
      <c r="I310" s="226"/>
      <c r="J310" s="28"/>
      <c r="K310" s="25"/>
      <c r="L310" s="26"/>
      <c r="M310" s="26"/>
      <c r="N310" s="26"/>
      <c r="O310" s="26"/>
      <c r="P310" s="26"/>
      <c r="Q310" s="165"/>
      <c r="R310" s="22"/>
      <c r="S310" s="24"/>
      <c r="T310" s="22"/>
      <c r="U310" s="22"/>
      <c r="V310" s="22"/>
      <c r="W310" s="22"/>
      <c r="X310" s="22"/>
      <c r="Y310" s="22"/>
      <c r="Z310" s="22"/>
      <c r="AA310" s="18"/>
      <c r="AB310" s="92"/>
      <c r="AC310" s="18"/>
      <c r="AD310" s="18"/>
      <c r="AE310" s="18"/>
      <c r="AF310" s="18"/>
      <c r="AG310" s="23"/>
      <c r="AH310" s="23"/>
      <c r="AI310" s="27"/>
      <c r="AJ310" s="88"/>
      <c r="AK310" s="27"/>
      <c r="AL310" s="88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</row>
    <row r="311" spans="1:65" x14ac:dyDescent="0.2">
      <c r="A311" s="129"/>
      <c r="B311" s="32"/>
      <c r="C311" s="28"/>
      <c r="D311" s="28"/>
      <c r="E311" s="28"/>
      <c r="F311" s="28"/>
      <c r="G311" s="25"/>
      <c r="H311" s="25"/>
      <c r="I311" s="226"/>
      <c r="J311" s="28"/>
      <c r="K311" s="25"/>
      <c r="L311" s="26"/>
      <c r="M311" s="26"/>
      <c r="N311" s="26"/>
      <c r="O311" s="26"/>
      <c r="P311" s="26"/>
      <c r="Q311" s="29"/>
      <c r="R311" s="22"/>
      <c r="S311" s="24"/>
      <c r="T311" s="22"/>
      <c r="U311" s="22"/>
      <c r="V311" s="22"/>
      <c r="W311" s="22"/>
      <c r="X311" s="22"/>
      <c r="Y311" s="22"/>
      <c r="Z311" s="22"/>
      <c r="AA311" s="18"/>
      <c r="AB311" s="92"/>
      <c r="AC311" s="18"/>
      <c r="AD311" s="18"/>
      <c r="AE311" s="18"/>
      <c r="AF311" s="18"/>
      <c r="AG311" s="23"/>
      <c r="AH311" s="23"/>
      <c r="AI311" s="27"/>
      <c r="AJ311" s="88"/>
      <c r="AK311" s="27"/>
      <c r="AL311" s="88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</row>
    <row r="312" spans="1:65" x14ac:dyDescent="0.2">
      <c r="A312" s="129"/>
      <c r="B312" s="32"/>
      <c r="C312" s="28"/>
      <c r="D312" s="28"/>
      <c r="E312" s="28"/>
      <c r="F312" s="28"/>
      <c r="G312" s="25"/>
      <c r="H312" s="25"/>
      <c r="I312" s="226"/>
      <c r="J312" s="28"/>
      <c r="K312" s="25"/>
      <c r="L312" s="26"/>
      <c r="M312" s="26"/>
      <c r="N312" s="26"/>
      <c r="O312" s="26"/>
      <c r="P312" s="26"/>
      <c r="Q312" s="29"/>
      <c r="R312" s="22"/>
      <c r="S312" s="24"/>
      <c r="T312" s="22"/>
      <c r="U312" s="22"/>
      <c r="V312" s="22"/>
      <c r="W312" s="22"/>
      <c r="X312" s="22"/>
      <c r="Y312" s="22"/>
      <c r="Z312" s="22"/>
      <c r="AA312" s="18"/>
      <c r="AB312" s="92"/>
      <c r="AC312" s="18"/>
      <c r="AD312" s="18"/>
      <c r="AE312" s="18"/>
      <c r="AF312" s="18"/>
      <c r="AG312" s="23"/>
      <c r="AH312" s="23"/>
      <c r="AI312" s="27"/>
      <c r="AJ312" s="88"/>
      <c r="AK312" s="27"/>
      <c r="AL312" s="88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</row>
    <row r="313" spans="1:65" x14ac:dyDescent="0.2">
      <c r="A313" s="129"/>
      <c r="B313" s="32"/>
      <c r="C313" s="28"/>
      <c r="D313" s="28"/>
      <c r="E313" s="28"/>
      <c r="F313" s="28"/>
      <c r="G313" s="25"/>
      <c r="H313" s="25"/>
      <c r="I313" s="226"/>
      <c r="J313" s="28"/>
      <c r="K313" s="25"/>
      <c r="L313" s="26"/>
      <c r="M313" s="26"/>
      <c r="N313" s="26"/>
      <c r="O313" s="26"/>
      <c r="P313" s="26"/>
      <c r="Q313" s="29"/>
      <c r="R313" s="22"/>
      <c r="S313" s="24"/>
      <c r="T313" s="22"/>
      <c r="U313" s="22"/>
      <c r="V313" s="22"/>
      <c r="W313" s="22"/>
      <c r="X313" s="22"/>
      <c r="Y313" s="22"/>
      <c r="Z313" s="22"/>
      <c r="AA313" s="18"/>
      <c r="AB313" s="92"/>
      <c r="AC313" s="18"/>
      <c r="AD313" s="18"/>
      <c r="AE313" s="18"/>
      <c r="AF313" s="18"/>
      <c r="AG313" s="23"/>
      <c r="AH313" s="23"/>
      <c r="AI313" s="27"/>
      <c r="AJ313" s="88"/>
      <c r="AK313" s="27"/>
      <c r="AL313" s="88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</row>
    <row r="314" spans="1:65" x14ac:dyDescent="0.2">
      <c r="A314" s="129"/>
      <c r="B314" s="32"/>
      <c r="C314" s="28"/>
      <c r="D314" s="28"/>
      <c r="E314" s="28"/>
      <c r="F314" s="28"/>
      <c r="G314" s="25"/>
      <c r="H314" s="25"/>
      <c r="I314" s="226"/>
      <c r="J314" s="28"/>
      <c r="K314" s="25"/>
      <c r="L314" s="26"/>
      <c r="M314" s="26"/>
      <c r="N314" s="26"/>
      <c r="O314" s="26"/>
      <c r="P314" s="26"/>
      <c r="Q314" s="29"/>
      <c r="R314" s="22"/>
      <c r="S314" s="24"/>
      <c r="T314" s="22"/>
      <c r="U314" s="22"/>
      <c r="V314" s="22"/>
      <c r="W314" s="22"/>
      <c r="X314" s="22"/>
      <c r="Y314" s="22"/>
      <c r="Z314" s="22"/>
      <c r="AA314" s="18"/>
      <c r="AB314" s="92"/>
      <c r="AC314" s="18"/>
      <c r="AD314" s="18"/>
      <c r="AE314" s="18"/>
      <c r="AF314" s="18"/>
      <c r="AG314" s="23"/>
      <c r="AH314" s="23"/>
      <c r="AI314" s="27"/>
      <c r="AJ314" s="88"/>
      <c r="AK314" s="27"/>
      <c r="AL314" s="88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</row>
    <row r="315" spans="1:65" x14ac:dyDescent="0.2">
      <c r="A315" s="129"/>
      <c r="B315" s="32"/>
      <c r="C315" s="28"/>
      <c r="D315" s="28"/>
      <c r="E315" s="28"/>
      <c r="F315" s="28"/>
      <c r="G315" s="25"/>
      <c r="H315" s="25"/>
      <c r="I315" s="226"/>
      <c r="J315" s="28"/>
      <c r="K315" s="25"/>
      <c r="L315" s="26"/>
      <c r="M315" s="26"/>
      <c r="N315" s="26"/>
      <c r="O315" s="26"/>
      <c r="P315" s="26"/>
      <c r="Q315" s="29"/>
      <c r="R315" s="22"/>
      <c r="S315" s="24"/>
      <c r="T315" s="22"/>
      <c r="U315" s="22"/>
      <c r="V315" s="22"/>
      <c r="W315" s="22"/>
      <c r="X315" s="22"/>
      <c r="Y315" s="22"/>
      <c r="Z315" s="22"/>
      <c r="AA315" s="18"/>
      <c r="AB315" s="92"/>
      <c r="AC315" s="18"/>
      <c r="AD315" s="18"/>
      <c r="AE315" s="18"/>
      <c r="AF315" s="18"/>
      <c r="AG315" s="23"/>
      <c r="AH315" s="23"/>
      <c r="AI315" s="27"/>
      <c r="AJ315" s="88"/>
      <c r="AK315" s="27"/>
      <c r="AL315" s="88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</row>
    <row r="316" spans="1:65" x14ac:dyDescent="0.2">
      <c r="A316" s="129"/>
      <c r="B316" s="32"/>
      <c r="C316" s="28"/>
      <c r="D316" s="28"/>
      <c r="E316" s="28"/>
      <c r="F316" s="28"/>
      <c r="G316" s="25"/>
      <c r="H316" s="25"/>
      <c r="I316" s="226"/>
      <c r="J316" s="28"/>
      <c r="K316" s="25"/>
      <c r="L316" s="26"/>
      <c r="M316" s="26"/>
      <c r="N316" s="26"/>
      <c r="O316" s="26"/>
      <c r="P316" s="26"/>
      <c r="Q316" s="29"/>
      <c r="R316" s="22"/>
      <c r="S316" s="24"/>
      <c r="T316" s="22"/>
      <c r="U316" s="22"/>
      <c r="V316" s="22"/>
      <c r="W316" s="22"/>
      <c r="X316" s="22"/>
      <c r="Y316" s="22"/>
      <c r="Z316" s="22"/>
      <c r="AA316" s="18"/>
      <c r="AB316" s="92"/>
      <c r="AC316" s="18"/>
      <c r="AD316" s="18"/>
      <c r="AE316" s="18"/>
      <c r="AF316" s="18"/>
      <c r="AG316" s="23"/>
      <c r="AH316" s="23"/>
      <c r="AI316" s="27"/>
      <c r="AJ316" s="88"/>
      <c r="AK316" s="27"/>
      <c r="AL316" s="88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</row>
    <row r="317" spans="1:65" x14ac:dyDescent="0.2">
      <c r="A317" s="129"/>
      <c r="B317" s="32"/>
      <c r="C317" s="28"/>
      <c r="D317" s="28"/>
      <c r="E317" s="28"/>
      <c r="F317" s="28"/>
      <c r="G317" s="25"/>
      <c r="H317" s="25"/>
      <c r="I317" s="226"/>
      <c r="J317" s="28"/>
      <c r="K317" s="25"/>
      <c r="L317" s="26"/>
      <c r="M317" s="26"/>
      <c r="N317" s="26"/>
      <c r="O317" s="26"/>
      <c r="P317" s="26"/>
      <c r="Q317" s="29"/>
      <c r="R317" s="22"/>
      <c r="S317" s="24"/>
      <c r="T317" s="22"/>
      <c r="U317" s="22"/>
      <c r="V317" s="22"/>
      <c r="W317" s="22"/>
      <c r="X317" s="22"/>
      <c r="Y317" s="22"/>
      <c r="Z317" s="22"/>
      <c r="AA317" s="18"/>
      <c r="AB317" s="92"/>
      <c r="AC317" s="18"/>
      <c r="AD317" s="18"/>
      <c r="AE317" s="18"/>
      <c r="AF317" s="18"/>
      <c r="AG317" s="23"/>
      <c r="AH317" s="23"/>
      <c r="AI317" s="27"/>
      <c r="AJ317" s="88"/>
      <c r="AK317" s="27"/>
      <c r="AL317" s="88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</row>
    <row r="318" spans="1:65" x14ac:dyDescent="0.2">
      <c r="A318" s="129"/>
      <c r="B318" s="32"/>
      <c r="C318" s="28"/>
      <c r="D318" s="28"/>
      <c r="E318" s="28"/>
      <c r="F318" s="28"/>
      <c r="G318" s="25"/>
      <c r="H318" s="25"/>
      <c r="I318" s="226"/>
      <c r="J318" s="28"/>
      <c r="K318" s="25"/>
      <c r="L318" s="26"/>
      <c r="M318" s="26"/>
      <c r="N318" s="26"/>
      <c r="O318" s="26"/>
      <c r="P318" s="26"/>
      <c r="Q318" s="29"/>
      <c r="R318" s="22"/>
      <c r="S318" s="24"/>
      <c r="T318" s="22"/>
      <c r="U318" s="22"/>
      <c r="V318" s="22"/>
      <c r="W318" s="22"/>
      <c r="X318" s="22"/>
      <c r="Y318" s="22"/>
      <c r="Z318" s="22"/>
      <c r="AA318" s="18"/>
      <c r="AB318" s="92"/>
      <c r="AC318" s="18"/>
      <c r="AD318" s="18"/>
      <c r="AE318" s="18"/>
      <c r="AF318" s="18"/>
      <c r="AG318" s="23"/>
      <c r="AH318" s="23"/>
      <c r="AI318" s="27"/>
      <c r="AJ318" s="88"/>
      <c r="AK318" s="27"/>
      <c r="AL318" s="88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</row>
    <row r="319" spans="1:65" x14ac:dyDescent="0.2">
      <c r="A319" s="129"/>
      <c r="B319" s="32"/>
      <c r="C319" s="28"/>
      <c r="D319" s="28"/>
      <c r="E319" s="28"/>
      <c r="F319" s="28"/>
      <c r="G319" s="25"/>
      <c r="H319" s="25"/>
      <c r="I319" s="226"/>
      <c r="J319" s="28"/>
      <c r="K319" s="25"/>
      <c r="L319" s="26"/>
      <c r="M319" s="26"/>
      <c r="N319" s="26"/>
      <c r="O319" s="26"/>
      <c r="P319" s="26"/>
      <c r="Q319" s="29"/>
      <c r="R319" s="22"/>
      <c r="S319" s="24"/>
      <c r="T319" s="22"/>
      <c r="U319" s="22"/>
      <c r="V319" s="22"/>
      <c r="W319" s="22"/>
      <c r="X319" s="22"/>
      <c r="Y319" s="22"/>
      <c r="Z319" s="22"/>
      <c r="AA319" s="18"/>
      <c r="AB319" s="92"/>
      <c r="AC319" s="18"/>
      <c r="AD319" s="18"/>
      <c r="AE319" s="18"/>
      <c r="AF319" s="18"/>
      <c r="AG319" s="23"/>
      <c r="AH319" s="23"/>
      <c r="AI319" s="27"/>
      <c r="AJ319" s="88"/>
      <c r="AK319" s="27"/>
      <c r="AL319" s="88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</row>
    <row r="320" spans="1:65" x14ac:dyDescent="0.2">
      <c r="A320" s="129"/>
      <c r="B320" s="32"/>
      <c r="C320" s="28"/>
      <c r="D320" s="28"/>
      <c r="E320" s="28"/>
      <c r="F320" s="28"/>
      <c r="G320" s="25"/>
      <c r="H320" s="25"/>
      <c r="I320" s="226"/>
      <c r="J320" s="28"/>
      <c r="K320" s="25"/>
      <c r="L320" s="26"/>
      <c r="M320" s="26"/>
      <c r="N320" s="26"/>
      <c r="O320" s="26"/>
      <c r="P320" s="26"/>
      <c r="Q320" s="29"/>
      <c r="R320" s="22"/>
      <c r="S320" s="24"/>
      <c r="T320" s="22"/>
      <c r="U320" s="22"/>
      <c r="V320" s="22"/>
      <c r="W320" s="22"/>
      <c r="X320" s="22"/>
      <c r="Y320" s="22"/>
      <c r="Z320" s="22"/>
      <c r="AA320" s="18"/>
      <c r="AB320" s="92"/>
      <c r="AC320" s="18"/>
      <c r="AD320" s="18"/>
      <c r="AE320" s="18"/>
      <c r="AF320" s="18"/>
      <c r="AG320" s="23"/>
      <c r="AH320" s="23"/>
      <c r="AI320" s="27"/>
      <c r="AJ320" s="88"/>
      <c r="AK320" s="27"/>
      <c r="AL320" s="88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</row>
    <row r="321" spans="1:65" x14ac:dyDescent="0.2">
      <c r="A321" s="129"/>
      <c r="B321" s="32"/>
      <c r="C321" s="28"/>
      <c r="D321" s="28"/>
      <c r="E321" s="28"/>
      <c r="F321" s="28"/>
      <c r="G321" s="25"/>
      <c r="H321" s="25"/>
      <c r="I321" s="226"/>
      <c r="J321" s="28"/>
      <c r="K321" s="25"/>
      <c r="L321" s="26"/>
      <c r="M321" s="26"/>
      <c r="N321" s="26"/>
      <c r="O321" s="26"/>
      <c r="P321" s="26"/>
      <c r="Q321" s="29"/>
      <c r="R321" s="22"/>
      <c r="S321" s="24"/>
      <c r="T321" s="22"/>
      <c r="U321" s="22"/>
      <c r="V321" s="22"/>
      <c r="W321" s="22"/>
      <c r="X321" s="22"/>
      <c r="Y321" s="22"/>
      <c r="Z321" s="22"/>
      <c r="AA321" s="18"/>
      <c r="AB321" s="92"/>
      <c r="AC321" s="18"/>
      <c r="AD321" s="18"/>
      <c r="AE321" s="18"/>
      <c r="AF321" s="18"/>
      <c r="AG321" s="23"/>
      <c r="AH321" s="23"/>
      <c r="AI321" s="27"/>
      <c r="AJ321" s="88"/>
      <c r="AK321" s="27"/>
      <c r="AL321" s="88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</row>
    <row r="322" spans="1:65" x14ac:dyDescent="0.2">
      <c r="A322" s="129"/>
      <c r="B322" s="32"/>
      <c r="C322" s="28"/>
      <c r="D322" s="28"/>
      <c r="E322" s="28"/>
      <c r="F322" s="28"/>
      <c r="G322" s="25"/>
      <c r="H322" s="25"/>
      <c r="I322" s="226"/>
      <c r="J322" s="28"/>
      <c r="K322" s="25"/>
      <c r="L322" s="26"/>
      <c r="M322" s="26"/>
      <c r="N322" s="26"/>
      <c r="O322" s="26"/>
      <c r="P322" s="26"/>
      <c r="Q322" s="29"/>
      <c r="R322" s="22"/>
      <c r="S322" s="24"/>
      <c r="T322" s="22"/>
      <c r="U322" s="22"/>
      <c r="V322" s="22"/>
      <c r="W322" s="22"/>
      <c r="X322" s="22"/>
      <c r="Y322" s="22"/>
      <c r="Z322" s="22"/>
      <c r="AA322" s="18"/>
      <c r="AB322" s="92"/>
      <c r="AC322" s="18"/>
      <c r="AD322" s="18"/>
      <c r="AE322" s="18"/>
      <c r="AF322" s="18"/>
      <c r="AG322" s="23"/>
      <c r="AH322" s="23"/>
      <c r="AI322" s="27"/>
      <c r="AJ322" s="88"/>
      <c r="AK322" s="27"/>
      <c r="AL322" s="88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</row>
    <row r="323" spans="1:65" x14ac:dyDescent="0.2">
      <c r="A323" s="129"/>
      <c r="B323" s="32"/>
      <c r="C323" s="28"/>
      <c r="D323" s="28"/>
      <c r="E323" s="28"/>
      <c r="F323" s="28"/>
      <c r="G323" s="25"/>
      <c r="H323" s="25"/>
      <c r="I323" s="226"/>
      <c r="J323" s="28"/>
      <c r="K323" s="25"/>
      <c r="L323" s="26"/>
      <c r="M323" s="26"/>
      <c r="N323" s="26"/>
      <c r="O323" s="26"/>
      <c r="P323" s="26"/>
      <c r="Q323" s="29"/>
      <c r="R323" s="22"/>
      <c r="S323" s="24"/>
      <c r="T323" s="22"/>
      <c r="U323" s="22"/>
      <c r="V323" s="22"/>
      <c r="W323" s="22"/>
      <c r="X323" s="22"/>
      <c r="Y323" s="22"/>
      <c r="Z323" s="22"/>
      <c r="AA323" s="18"/>
      <c r="AB323" s="92"/>
      <c r="AC323" s="18"/>
      <c r="AD323" s="18"/>
      <c r="AE323" s="18"/>
      <c r="AF323" s="18"/>
      <c r="AG323" s="23"/>
      <c r="AH323" s="23"/>
      <c r="AI323" s="27"/>
      <c r="AJ323" s="88"/>
      <c r="AK323" s="27"/>
      <c r="AL323" s="88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</row>
    <row r="324" spans="1:65" x14ac:dyDescent="0.2">
      <c r="A324" s="129"/>
      <c r="B324" s="32"/>
      <c r="C324" s="28"/>
      <c r="D324" s="28"/>
      <c r="E324" s="28"/>
      <c r="F324" s="28"/>
      <c r="G324" s="25"/>
      <c r="H324" s="25"/>
      <c r="I324" s="226"/>
      <c r="J324" s="28"/>
      <c r="K324" s="25"/>
      <c r="L324" s="26"/>
      <c r="M324" s="26"/>
      <c r="N324" s="26"/>
      <c r="O324" s="26"/>
      <c r="P324" s="26"/>
      <c r="Q324" s="29"/>
      <c r="R324" s="22"/>
      <c r="S324" s="24"/>
      <c r="T324" s="22"/>
      <c r="U324" s="22"/>
      <c r="V324" s="22"/>
      <c r="W324" s="22"/>
      <c r="X324" s="22"/>
      <c r="Y324" s="22"/>
      <c r="Z324" s="22"/>
      <c r="AA324" s="18"/>
      <c r="AB324" s="92"/>
      <c r="AC324" s="18"/>
      <c r="AD324" s="18"/>
      <c r="AE324" s="18"/>
      <c r="AF324" s="18"/>
      <c r="AG324" s="23"/>
      <c r="AH324" s="23"/>
      <c r="AI324" s="27"/>
      <c r="AJ324" s="88"/>
      <c r="AK324" s="27"/>
      <c r="AL324" s="88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</row>
    <row r="325" spans="1:65" x14ac:dyDescent="0.2">
      <c r="A325" s="129"/>
      <c r="B325" s="32"/>
      <c r="C325" s="28"/>
      <c r="D325" s="28"/>
      <c r="E325" s="28"/>
      <c r="F325" s="28"/>
      <c r="G325" s="25"/>
      <c r="H325" s="25"/>
      <c r="I325" s="226"/>
      <c r="J325" s="28"/>
      <c r="K325" s="25"/>
      <c r="L325" s="26"/>
      <c r="M325" s="26"/>
      <c r="N325" s="26"/>
      <c r="O325" s="26"/>
      <c r="P325" s="26"/>
      <c r="Q325" s="29"/>
      <c r="R325" s="22"/>
      <c r="S325" s="24"/>
      <c r="T325" s="22"/>
      <c r="U325" s="22"/>
      <c r="V325" s="22"/>
      <c r="W325" s="22"/>
      <c r="X325" s="22"/>
      <c r="Y325" s="22"/>
      <c r="Z325" s="22"/>
      <c r="AA325" s="18"/>
      <c r="AB325" s="92"/>
      <c r="AC325" s="18"/>
      <c r="AD325" s="18"/>
      <c r="AE325" s="18"/>
      <c r="AF325" s="18"/>
      <c r="AG325" s="23"/>
      <c r="AH325" s="23"/>
      <c r="AI325" s="27"/>
      <c r="AJ325" s="88"/>
      <c r="AK325" s="27"/>
      <c r="AL325" s="88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4B9B-FC23-5845-AB02-D83E51E36093}">
  <dimension ref="A1:CA81"/>
  <sheetViews>
    <sheetView topLeftCell="A4" workbookViewId="0">
      <selection activeCell="L20" sqref="L20:L21"/>
    </sheetView>
  </sheetViews>
  <sheetFormatPr baseColWidth="10" defaultColWidth="8.83203125" defaultRowHeight="15" x14ac:dyDescent="0.2"/>
  <cols>
    <col min="1" max="1" width="19" style="233" customWidth="1"/>
    <col min="2" max="2" width="18.5" style="233" customWidth="1"/>
    <col min="3" max="3" width="17.5" style="233" customWidth="1"/>
    <col min="4" max="4" width="12.33203125" style="233" customWidth="1"/>
    <col min="5" max="5" width="8.83203125" style="233"/>
    <col min="6" max="6" width="12" style="233" customWidth="1"/>
    <col min="7" max="7" width="8.83203125" style="233"/>
    <col min="8" max="8" width="14.6640625" style="233" customWidth="1"/>
    <col min="9" max="9" width="17" style="233" customWidth="1"/>
    <col min="10" max="16384" width="8.83203125" style="233"/>
  </cols>
  <sheetData>
    <row r="1" spans="1:79" s="294" customFormat="1" ht="19" x14ac:dyDescent="0.25">
      <c r="A1" s="295" t="s">
        <v>185</v>
      </c>
      <c r="B1" s="295" t="s">
        <v>186</v>
      </c>
      <c r="C1" s="295" t="s">
        <v>187</v>
      </c>
      <c r="D1" s="295" t="s">
        <v>44</v>
      </c>
      <c r="E1" s="295" t="s">
        <v>17</v>
      </c>
      <c r="F1" s="295" t="s">
        <v>188</v>
      </c>
      <c r="G1" s="295" t="s">
        <v>189</v>
      </c>
      <c r="H1" s="295" t="s">
        <v>9</v>
      </c>
      <c r="I1" s="295" t="s">
        <v>190</v>
      </c>
      <c r="J1" s="297" t="s">
        <v>191</v>
      </c>
      <c r="K1" s="296"/>
      <c r="L1" s="296"/>
      <c r="M1" s="296"/>
      <c r="N1" s="296"/>
      <c r="O1" s="296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  <c r="BC1" s="293"/>
      <c r="BD1" s="293"/>
      <c r="BE1" s="293"/>
      <c r="BF1" s="293"/>
      <c r="BG1" s="293"/>
      <c r="BH1" s="293"/>
      <c r="BI1" s="293"/>
      <c r="BJ1" s="293"/>
      <c r="BK1" s="293"/>
      <c r="BL1" s="293"/>
      <c r="BM1" s="293"/>
      <c r="BN1" s="293"/>
      <c r="BO1" s="293"/>
      <c r="BP1" s="293"/>
      <c r="BQ1" s="293"/>
      <c r="BR1" s="293"/>
      <c r="BS1" s="293"/>
      <c r="BT1" s="293"/>
      <c r="BU1" s="293"/>
      <c r="BV1" s="293"/>
      <c r="BW1" s="293"/>
      <c r="BX1" s="293"/>
      <c r="BY1" s="293"/>
      <c r="BZ1" s="293"/>
      <c r="CA1" s="293"/>
    </row>
    <row r="2" spans="1:79" ht="16" x14ac:dyDescent="0.2">
      <c r="A2" s="302" t="s">
        <v>192</v>
      </c>
      <c r="B2" s="303">
        <v>44402</v>
      </c>
      <c r="C2" s="302">
        <v>59</v>
      </c>
      <c r="D2" s="302">
        <v>2</v>
      </c>
      <c r="E2" s="302">
        <v>8</v>
      </c>
      <c r="F2" s="302">
        <v>1</v>
      </c>
      <c r="G2" s="302">
        <v>125</v>
      </c>
      <c r="H2" s="302" t="s">
        <v>86</v>
      </c>
      <c r="I2" s="302">
        <v>1</v>
      </c>
      <c r="J2" s="298" t="s">
        <v>193</v>
      </c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1"/>
      <c r="AP2" s="291"/>
      <c r="AQ2" s="291"/>
      <c r="AR2" s="291"/>
      <c r="AS2" s="291"/>
      <c r="AT2" s="291"/>
      <c r="AU2" s="291"/>
      <c r="AV2" s="291"/>
      <c r="AW2" s="291"/>
      <c r="AX2" s="291"/>
      <c r="AY2" s="291"/>
      <c r="AZ2" s="291"/>
      <c r="BA2" s="291"/>
      <c r="BB2" s="291"/>
      <c r="BC2" s="291"/>
      <c r="BD2" s="291"/>
      <c r="BE2" s="291"/>
      <c r="BF2" s="291"/>
      <c r="BG2" s="291"/>
      <c r="BH2" s="291"/>
      <c r="BI2" s="291"/>
      <c r="BJ2" s="291"/>
      <c r="BK2" s="291"/>
      <c r="BL2" s="291"/>
      <c r="BM2" s="291"/>
      <c r="BN2" s="291"/>
      <c r="BO2" s="291"/>
      <c r="BP2" s="291"/>
      <c r="BQ2" s="291"/>
      <c r="BR2" s="291"/>
      <c r="BS2" s="291"/>
      <c r="BT2" s="291"/>
      <c r="BU2" s="291"/>
      <c r="BV2" s="291"/>
      <c r="BW2" s="291"/>
      <c r="BX2" s="291"/>
      <c r="BY2" s="291"/>
      <c r="BZ2" s="291"/>
      <c r="CA2" s="291"/>
    </row>
    <row r="3" spans="1:79" ht="16" x14ac:dyDescent="0.2">
      <c r="A3" s="290" t="s">
        <v>192</v>
      </c>
      <c r="B3" s="292">
        <v>44402</v>
      </c>
      <c r="C3" s="290">
        <v>59</v>
      </c>
      <c r="D3" s="290">
        <v>2</v>
      </c>
      <c r="E3" s="290">
        <v>8</v>
      </c>
      <c r="F3" s="290">
        <v>2</v>
      </c>
      <c r="G3" s="290">
        <v>125</v>
      </c>
      <c r="H3" s="290" t="s">
        <v>86</v>
      </c>
      <c r="I3" s="290">
        <v>2</v>
      </c>
      <c r="J3" s="298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1"/>
      <c r="BC3" s="291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1"/>
      <c r="BQ3" s="291"/>
      <c r="BR3" s="291"/>
      <c r="BS3" s="291"/>
      <c r="BT3" s="291"/>
      <c r="BU3" s="291"/>
      <c r="BV3" s="291"/>
      <c r="BW3" s="291"/>
      <c r="BX3" s="291"/>
      <c r="BY3" s="291"/>
      <c r="BZ3" s="291"/>
      <c r="CA3" s="291"/>
    </row>
    <row r="4" spans="1:79" ht="16" x14ac:dyDescent="0.2">
      <c r="A4" s="290" t="s">
        <v>192</v>
      </c>
      <c r="B4" s="292">
        <v>44402</v>
      </c>
      <c r="C4" s="290">
        <v>59</v>
      </c>
      <c r="D4" s="290">
        <v>2</v>
      </c>
      <c r="E4" s="290">
        <v>8</v>
      </c>
      <c r="F4" s="290">
        <v>3</v>
      </c>
      <c r="G4" s="290">
        <v>125</v>
      </c>
      <c r="H4" s="290" t="s">
        <v>86</v>
      </c>
      <c r="I4" s="290">
        <v>3</v>
      </c>
      <c r="J4" s="298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291"/>
      <c r="BB4" s="291"/>
      <c r="BC4" s="291"/>
      <c r="BD4" s="291"/>
      <c r="BE4" s="291"/>
      <c r="BF4" s="291"/>
      <c r="BG4" s="291"/>
      <c r="BH4" s="291"/>
      <c r="BI4" s="291"/>
      <c r="BJ4" s="291"/>
      <c r="BK4" s="291"/>
      <c r="BL4" s="291"/>
      <c r="BM4" s="291"/>
      <c r="BN4" s="291"/>
      <c r="BO4" s="291"/>
      <c r="BP4" s="291"/>
      <c r="BQ4" s="291"/>
      <c r="BR4" s="291"/>
      <c r="BS4" s="291"/>
      <c r="BT4" s="291"/>
      <c r="BU4" s="291"/>
      <c r="BV4" s="291"/>
      <c r="BW4" s="291"/>
      <c r="BX4" s="291"/>
      <c r="BY4" s="291"/>
      <c r="BZ4" s="291"/>
      <c r="CA4" s="291"/>
    </row>
    <row r="5" spans="1:79" ht="16" x14ac:dyDescent="0.2">
      <c r="A5" s="302" t="s">
        <v>192</v>
      </c>
      <c r="B5" s="303">
        <v>44402</v>
      </c>
      <c r="C5" s="302">
        <v>59</v>
      </c>
      <c r="D5" s="302">
        <v>2</v>
      </c>
      <c r="E5" s="302">
        <v>8</v>
      </c>
      <c r="F5" s="302">
        <v>4</v>
      </c>
      <c r="G5" s="302">
        <v>100</v>
      </c>
      <c r="H5" s="302" t="s">
        <v>86</v>
      </c>
      <c r="I5" s="302">
        <v>4</v>
      </c>
      <c r="J5" s="298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1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291"/>
      <c r="BE5" s="291"/>
      <c r="BF5" s="291"/>
      <c r="BG5" s="291"/>
      <c r="BH5" s="291"/>
      <c r="BI5" s="291"/>
      <c r="BJ5" s="291"/>
      <c r="BK5" s="291"/>
      <c r="BL5" s="291"/>
      <c r="BM5" s="291"/>
      <c r="BN5" s="291"/>
      <c r="BO5" s="291"/>
      <c r="BP5" s="291"/>
      <c r="BQ5" s="291"/>
      <c r="BR5" s="291"/>
      <c r="BS5" s="291"/>
      <c r="BT5" s="291"/>
      <c r="BU5" s="291"/>
      <c r="BV5" s="291"/>
      <c r="BW5" s="291"/>
      <c r="BX5" s="291"/>
      <c r="BY5" s="291"/>
      <c r="BZ5" s="291"/>
      <c r="CA5" s="291"/>
    </row>
    <row r="6" spans="1:79" ht="16" x14ac:dyDescent="0.2">
      <c r="A6" s="290" t="s">
        <v>192</v>
      </c>
      <c r="B6" s="292">
        <v>44402</v>
      </c>
      <c r="C6" s="290">
        <v>59</v>
      </c>
      <c r="D6" s="290">
        <v>2</v>
      </c>
      <c r="E6" s="290">
        <v>8</v>
      </c>
      <c r="F6" s="290">
        <v>5</v>
      </c>
      <c r="G6" s="290">
        <v>100</v>
      </c>
      <c r="H6" s="290" t="s">
        <v>86</v>
      </c>
      <c r="I6" s="290">
        <v>5</v>
      </c>
      <c r="J6" s="298"/>
      <c r="K6" s="29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1"/>
      <c r="AI6" s="291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291"/>
      <c r="BA6" s="291"/>
      <c r="BB6" s="291"/>
      <c r="BC6" s="291"/>
      <c r="BD6" s="291"/>
      <c r="BE6" s="291"/>
      <c r="BF6" s="291"/>
      <c r="BG6" s="291"/>
      <c r="BH6" s="291"/>
      <c r="BI6" s="291"/>
      <c r="BJ6" s="291"/>
      <c r="BK6" s="291"/>
      <c r="BL6" s="291"/>
      <c r="BM6" s="291"/>
      <c r="BN6" s="291"/>
      <c r="BO6" s="291"/>
      <c r="BP6" s="291"/>
      <c r="BQ6" s="291"/>
      <c r="BR6" s="291"/>
      <c r="BS6" s="291"/>
      <c r="BT6" s="291"/>
      <c r="BU6" s="291"/>
      <c r="BV6" s="291"/>
      <c r="BW6" s="291"/>
      <c r="BX6" s="291"/>
      <c r="BY6" s="291"/>
      <c r="BZ6" s="291"/>
      <c r="CA6" s="291"/>
    </row>
    <row r="7" spans="1:79" ht="16" x14ac:dyDescent="0.2">
      <c r="A7" s="290" t="s">
        <v>192</v>
      </c>
      <c r="B7" s="292">
        <v>44402</v>
      </c>
      <c r="C7" s="290">
        <v>59</v>
      </c>
      <c r="D7" s="290">
        <v>2</v>
      </c>
      <c r="E7" s="290">
        <v>8</v>
      </c>
      <c r="F7" s="290">
        <v>6</v>
      </c>
      <c r="G7" s="290">
        <v>100</v>
      </c>
      <c r="H7" s="290" t="s">
        <v>86</v>
      </c>
      <c r="I7" s="290">
        <v>6</v>
      </c>
      <c r="J7" s="298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291"/>
      <c r="AG7" s="291"/>
      <c r="AH7" s="291"/>
      <c r="AI7" s="291"/>
      <c r="AJ7" s="291"/>
      <c r="AK7" s="291"/>
      <c r="AL7" s="291"/>
      <c r="AM7" s="291"/>
      <c r="AN7" s="291"/>
      <c r="AO7" s="291"/>
      <c r="AP7" s="291"/>
      <c r="AQ7" s="291"/>
      <c r="AR7" s="291"/>
      <c r="AS7" s="291"/>
      <c r="AT7" s="291"/>
      <c r="AU7" s="291"/>
      <c r="AV7" s="291"/>
      <c r="AW7" s="291"/>
      <c r="AX7" s="291"/>
      <c r="AY7" s="291"/>
      <c r="AZ7" s="291"/>
      <c r="BA7" s="291"/>
      <c r="BB7" s="291"/>
      <c r="BC7" s="291"/>
      <c r="BD7" s="291"/>
      <c r="BE7" s="291"/>
      <c r="BF7" s="291"/>
      <c r="BG7" s="291"/>
      <c r="BH7" s="291"/>
      <c r="BI7" s="291"/>
      <c r="BJ7" s="291"/>
      <c r="BK7" s="291"/>
      <c r="BL7" s="291"/>
      <c r="BM7" s="291"/>
      <c r="BN7" s="291"/>
      <c r="BO7" s="291"/>
      <c r="BP7" s="291"/>
      <c r="BQ7" s="291"/>
      <c r="BR7" s="291"/>
      <c r="BS7" s="291"/>
      <c r="BT7" s="291"/>
      <c r="BU7" s="291"/>
      <c r="BV7" s="291"/>
      <c r="BW7" s="291"/>
      <c r="BX7" s="291"/>
      <c r="BY7" s="291"/>
      <c r="BZ7" s="291"/>
      <c r="CA7" s="291"/>
    </row>
    <row r="8" spans="1:79" ht="16" x14ac:dyDescent="0.2">
      <c r="A8" s="302" t="s">
        <v>192</v>
      </c>
      <c r="B8" s="303">
        <v>44402</v>
      </c>
      <c r="C8" s="302">
        <v>59</v>
      </c>
      <c r="D8" s="302">
        <v>2</v>
      </c>
      <c r="E8" s="302">
        <v>8</v>
      </c>
      <c r="F8" s="302">
        <v>7</v>
      </c>
      <c r="G8" s="302">
        <v>75</v>
      </c>
      <c r="H8" s="302" t="s">
        <v>86</v>
      </c>
      <c r="I8" s="302">
        <v>7</v>
      </c>
      <c r="J8" s="298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  <c r="AN8" s="291"/>
      <c r="AO8" s="291"/>
      <c r="AP8" s="291"/>
      <c r="AQ8" s="291"/>
      <c r="AR8" s="291"/>
      <c r="AS8" s="291"/>
      <c r="AT8" s="291"/>
      <c r="AU8" s="291"/>
      <c r="AV8" s="291"/>
      <c r="AW8" s="291"/>
      <c r="AX8" s="291"/>
      <c r="AY8" s="291"/>
      <c r="AZ8" s="291"/>
      <c r="BA8" s="291"/>
      <c r="BB8" s="291"/>
      <c r="BC8" s="291"/>
      <c r="BD8" s="291"/>
      <c r="BE8" s="291"/>
      <c r="BF8" s="291"/>
      <c r="BG8" s="291"/>
      <c r="BH8" s="291"/>
      <c r="BI8" s="291"/>
      <c r="BJ8" s="291"/>
      <c r="BK8" s="291"/>
      <c r="BL8" s="291"/>
      <c r="BM8" s="291"/>
      <c r="BN8" s="291"/>
      <c r="BO8" s="291"/>
      <c r="BP8" s="291"/>
      <c r="BQ8" s="291"/>
      <c r="BR8" s="291"/>
      <c r="BS8" s="291"/>
      <c r="BT8" s="291"/>
      <c r="BU8" s="291"/>
      <c r="BV8" s="291"/>
      <c r="BW8" s="291"/>
      <c r="BX8" s="291"/>
      <c r="BY8" s="291"/>
      <c r="BZ8" s="291"/>
      <c r="CA8" s="291"/>
    </row>
    <row r="9" spans="1:79" ht="16" x14ac:dyDescent="0.2">
      <c r="A9" s="290" t="s">
        <v>192</v>
      </c>
      <c r="B9" s="292">
        <v>44402</v>
      </c>
      <c r="C9" s="290">
        <v>59</v>
      </c>
      <c r="D9" s="290">
        <v>2</v>
      </c>
      <c r="E9" s="290">
        <v>8</v>
      </c>
      <c r="F9" s="290">
        <v>8</v>
      </c>
      <c r="G9" s="290">
        <v>75</v>
      </c>
      <c r="H9" s="290" t="s">
        <v>86</v>
      </c>
      <c r="I9" s="290">
        <v>8</v>
      </c>
      <c r="J9" s="298"/>
      <c r="K9" s="291"/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291"/>
      <c r="BA9" s="291"/>
      <c r="BB9" s="291"/>
      <c r="BC9" s="291"/>
      <c r="BD9" s="291"/>
      <c r="BE9" s="291"/>
      <c r="BF9" s="291"/>
      <c r="BG9" s="291"/>
      <c r="BH9" s="291"/>
      <c r="BI9" s="291"/>
      <c r="BJ9" s="291"/>
      <c r="BK9" s="291"/>
      <c r="BL9" s="291"/>
      <c r="BM9" s="291"/>
      <c r="BN9" s="291"/>
      <c r="BO9" s="291"/>
      <c r="BP9" s="291"/>
      <c r="BQ9" s="291"/>
      <c r="BR9" s="291"/>
      <c r="BS9" s="291"/>
      <c r="BT9" s="291"/>
      <c r="BU9" s="291"/>
      <c r="BV9" s="291"/>
      <c r="BW9" s="291"/>
      <c r="BX9" s="291"/>
      <c r="BY9" s="291"/>
      <c r="BZ9" s="291"/>
      <c r="CA9" s="291"/>
    </row>
    <row r="10" spans="1:79" ht="16" x14ac:dyDescent="0.2">
      <c r="A10" s="290" t="s">
        <v>192</v>
      </c>
      <c r="B10" s="292">
        <v>44402</v>
      </c>
      <c r="C10" s="290">
        <v>59</v>
      </c>
      <c r="D10" s="290">
        <v>2</v>
      </c>
      <c r="E10" s="290">
        <v>8</v>
      </c>
      <c r="F10" s="290">
        <v>9</v>
      </c>
      <c r="G10" s="290">
        <v>75</v>
      </c>
      <c r="H10" s="290" t="s">
        <v>86</v>
      </c>
      <c r="I10" s="290">
        <v>9</v>
      </c>
      <c r="J10" s="298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1"/>
      <c r="BB10" s="291"/>
      <c r="BC10" s="291"/>
      <c r="BD10" s="291"/>
      <c r="BE10" s="291"/>
      <c r="BF10" s="291"/>
      <c r="BG10" s="291"/>
      <c r="BH10" s="291"/>
      <c r="BI10" s="291"/>
      <c r="BJ10" s="291"/>
      <c r="BK10" s="291"/>
      <c r="BL10" s="291"/>
      <c r="BM10" s="291"/>
      <c r="BN10" s="291"/>
      <c r="BO10" s="291"/>
      <c r="BP10" s="291"/>
      <c r="BQ10" s="291"/>
      <c r="BR10" s="291"/>
      <c r="BS10" s="291"/>
      <c r="BT10" s="291"/>
      <c r="BU10" s="291"/>
      <c r="BV10" s="291"/>
      <c r="BW10" s="291"/>
      <c r="BX10" s="291"/>
      <c r="BY10" s="291"/>
      <c r="BZ10" s="291"/>
      <c r="CA10" s="291"/>
    </row>
    <row r="11" spans="1:79" ht="16" x14ac:dyDescent="0.2">
      <c r="A11" s="302" t="s">
        <v>192</v>
      </c>
      <c r="B11" s="303">
        <v>44402</v>
      </c>
      <c r="C11" s="302">
        <v>59</v>
      </c>
      <c r="D11" s="302">
        <v>2</v>
      </c>
      <c r="E11" s="302">
        <v>8</v>
      </c>
      <c r="F11" s="302">
        <v>10</v>
      </c>
      <c r="G11" s="302">
        <v>45</v>
      </c>
      <c r="H11" s="302" t="s">
        <v>86</v>
      </c>
      <c r="I11" s="302">
        <v>10</v>
      </c>
      <c r="J11" s="298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  <c r="AA11" s="291"/>
      <c r="AB11" s="291"/>
      <c r="AC11" s="291"/>
      <c r="AD11" s="291"/>
      <c r="AE11" s="291"/>
      <c r="AF11" s="291"/>
      <c r="AG11" s="291"/>
      <c r="AH11" s="291"/>
      <c r="AI11" s="291"/>
      <c r="AJ11" s="291"/>
      <c r="AK11" s="291"/>
      <c r="AL11" s="291"/>
      <c r="AM11" s="291"/>
      <c r="AN11" s="291"/>
      <c r="AO11" s="291"/>
      <c r="AP11" s="291"/>
      <c r="AQ11" s="291"/>
      <c r="AR11" s="291"/>
      <c r="AS11" s="291"/>
      <c r="AT11" s="291"/>
      <c r="AU11" s="291"/>
      <c r="AV11" s="291"/>
      <c r="AW11" s="291"/>
      <c r="AX11" s="291"/>
      <c r="AY11" s="291"/>
      <c r="AZ11" s="291"/>
      <c r="BA11" s="291"/>
      <c r="BB11" s="291"/>
      <c r="BC11" s="291"/>
      <c r="BD11" s="291"/>
      <c r="BE11" s="291"/>
      <c r="BF11" s="291"/>
      <c r="BG11" s="291"/>
      <c r="BH11" s="291"/>
      <c r="BI11" s="291"/>
      <c r="BJ11" s="291"/>
      <c r="BK11" s="291"/>
      <c r="BL11" s="291"/>
      <c r="BM11" s="291"/>
      <c r="BN11" s="291"/>
      <c r="BO11" s="291"/>
      <c r="BP11" s="291"/>
      <c r="BQ11" s="291"/>
      <c r="BR11" s="291"/>
      <c r="BS11" s="291"/>
      <c r="BT11" s="291"/>
      <c r="BU11" s="291"/>
      <c r="BV11" s="291"/>
      <c r="BW11" s="291"/>
      <c r="BX11" s="291"/>
      <c r="BY11" s="291"/>
      <c r="BZ11" s="291"/>
      <c r="CA11" s="291"/>
    </row>
    <row r="12" spans="1:79" ht="16" x14ac:dyDescent="0.2">
      <c r="A12" s="290" t="s">
        <v>192</v>
      </c>
      <c r="B12" s="292">
        <v>44402</v>
      </c>
      <c r="C12" s="290">
        <v>59</v>
      </c>
      <c r="D12" s="290">
        <v>2</v>
      </c>
      <c r="E12" s="290">
        <v>8</v>
      </c>
      <c r="F12" s="290">
        <v>11</v>
      </c>
      <c r="G12" s="290">
        <v>45</v>
      </c>
      <c r="H12" s="290" t="s">
        <v>86</v>
      </c>
      <c r="I12" s="290">
        <v>11</v>
      </c>
      <c r="J12" s="298"/>
      <c r="K12" s="291"/>
      <c r="L12" s="291"/>
      <c r="M12" s="291"/>
      <c r="N12" s="291"/>
      <c r="O12" s="29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1"/>
      <c r="AX12" s="291"/>
      <c r="AY12" s="291"/>
      <c r="AZ12" s="291"/>
      <c r="BA12" s="291"/>
      <c r="BB12" s="291"/>
      <c r="BC12" s="291"/>
      <c r="BD12" s="291"/>
      <c r="BE12" s="291"/>
      <c r="BF12" s="291"/>
      <c r="BG12" s="291"/>
      <c r="BH12" s="291"/>
      <c r="BI12" s="291"/>
      <c r="BJ12" s="291"/>
      <c r="BK12" s="291"/>
      <c r="BL12" s="291"/>
      <c r="BM12" s="291"/>
      <c r="BN12" s="291"/>
      <c r="BO12" s="291"/>
      <c r="BP12" s="291"/>
      <c r="BQ12" s="291"/>
      <c r="BR12" s="291"/>
      <c r="BS12" s="291"/>
      <c r="BT12" s="291"/>
      <c r="BU12" s="291"/>
      <c r="BV12" s="291"/>
      <c r="BW12" s="291"/>
      <c r="BX12" s="291"/>
      <c r="BY12" s="291"/>
      <c r="BZ12" s="291"/>
      <c r="CA12" s="291"/>
    </row>
    <row r="13" spans="1:79" ht="16" x14ac:dyDescent="0.2">
      <c r="A13" s="290" t="s">
        <v>192</v>
      </c>
      <c r="B13" s="292">
        <v>44402</v>
      </c>
      <c r="C13" s="290">
        <v>59</v>
      </c>
      <c r="D13" s="290">
        <v>2</v>
      </c>
      <c r="E13" s="290">
        <v>8</v>
      </c>
      <c r="F13" s="290">
        <v>12</v>
      </c>
      <c r="G13" s="290">
        <v>45</v>
      </c>
      <c r="H13" s="290" t="s">
        <v>86</v>
      </c>
      <c r="I13" s="290">
        <v>12</v>
      </c>
      <c r="J13" s="298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  <c r="AG13" s="291"/>
      <c r="AH13" s="291"/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1"/>
      <c r="BD13" s="291"/>
      <c r="BE13" s="291"/>
      <c r="BF13" s="291"/>
      <c r="BG13" s="291"/>
      <c r="BH13" s="291"/>
      <c r="BI13" s="291"/>
      <c r="BJ13" s="291"/>
      <c r="BK13" s="291"/>
      <c r="BL13" s="291"/>
      <c r="BM13" s="291"/>
      <c r="BN13" s="291"/>
      <c r="BO13" s="291"/>
      <c r="BP13" s="291"/>
      <c r="BQ13" s="291"/>
      <c r="BR13" s="291"/>
      <c r="BS13" s="291"/>
      <c r="BT13" s="291"/>
      <c r="BU13" s="291"/>
      <c r="BV13" s="291"/>
      <c r="BW13" s="291"/>
      <c r="BX13" s="291"/>
      <c r="BY13" s="291"/>
      <c r="BZ13" s="291"/>
      <c r="CA13" s="291"/>
    </row>
    <row r="14" spans="1:79" ht="16" x14ac:dyDescent="0.2">
      <c r="A14" s="302" t="s">
        <v>192</v>
      </c>
      <c r="B14" s="303">
        <v>44402</v>
      </c>
      <c r="C14" s="302">
        <v>59</v>
      </c>
      <c r="D14" s="302">
        <v>2</v>
      </c>
      <c r="E14" s="302">
        <v>8</v>
      </c>
      <c r="F14" s="302">
        <v>13</v>
      </c>
      <c r="G14" s="302">
        <v>25</v>
      </c>
      <c r="H14" s="302" t="s">
        <v>86</v>
      </c>
      <c r="I14" s="302">
        <v>13</v>
      </c>
      <c r="J14" s="298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1"/>
      <c r="BD14" s="291"/>
      <c r="BE14" s="291"/>
      <c r="BF14" s="291"/>
      <c r="BG14" s="291"/>
      <c r="BH14" s="291"/>
      <c r="BI14" s="291"/>
      <c r="BJ14" s="291"/>
      <c r="BK14" s="291"/>
      <c r="BL14" s="291"/>
      <c r="BM14" s="291"/>
      <c r="BN14" s="291"/>
      <c r="BO14" s="291"/>
      <c r="BP14" s="291"/>
      <c r="BQ14" s="291"/>
      <c r="BR14" s="291"/>
      <c r="BS14" s="291"/>
      <c r="BT14" s="291"/>
      <c r="BU14" s="291"/>
      <c r="BV14" s="291"/>
      <c r="BW14" s="291"/>
      <c r="BX14" s="291"/>
      <c r="BY14" s="291"/>
      <c r="BZ14" s="291"/>
      <c r="CA14" s="291"/>
    </row>
    <row r="15" spans="1:79" ht="16" x14ac:dyDescent="0.2">
      <c r="A15" s="290" t="s">
        <v>192</v>
      </c>
      <c r="B15" s="292">
        <v>44402</v>
      </c>
      <c r="C15" s="290">
        <v>59</v>
      </c>
      <c r="D15" s="290">
        <v>2</v>
      </c>
      <c r="E15" s="290">
        <v>8</v>
      </c>
      <c r="F15" s="290">
        <v>14</v>
      </c>
      <c r="G15" s="290">
        <v>25</v>
      </c>
      <c r="H15" s="290" t="s">
        <v>86</v>
      </c>
      <c r="I15" s="290">
        <v>14</v>
      </c>
      <c r="J15" s="298"/>
      <c r="K15" s="291"/>
      <c r="L15" s="291"/>
      <c r="M15" s="291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91"/>
      <c r="AH15" s="291"/>
      <c r="AI15" s="291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291"/>
      <c r="BI15" s="291"/>
      <c r="BJ15" s="291"/>
      <c r="BK15" s="291"/>
      <c r="BL15" s="291"/>
      <c r="BM15" s="291"/>
      <c r="BN15" s="291"/>
      <c r="BO15" s="291"/>
      <c r="BP15" s="291"/>
      <c r="BQ15" s="291"/>
      <c r="BR15" s="291"/>
      <c r="BS15" s="291"/>
      <c r="BT15" s="291"/>
      <c r="BU15" s="291"/>
      <c r="BV15" s="291"/>
      <c r="BW15" s="291"/>
      <c r="BX15" s="291"/>
      <c r="BY15" s="291"/>
      <c r="BZ15" s="291"/>
      <c r="CA15" s="291"/>
    </row>
    <row r="16" spans="1:79" ht="16" x14ac:dyDescent="0.2">
      <c r="A16" s="290" t="s">
        <v>192</v>
      </c>
      <c r="B16" s="292">
        <v>44402</v>
      </c>
      <c r="C16" s="290">
        <v>59</v>
      </c>
      <c r="D16" s="290">
        <v>2</v>
      </c>
      <c r="E16" s="290">
        <v>8</v>
      </c>
      <c r="F16" s="290">
        <v>15</v>
      </c>
      <c r="G16" s="290">
        <v>25</v>
      </c>
      <c r="H16" s="290" t="s">
        <v>86</v>
      </c>
      <c r="I16" s="290">
        <v>15</v>
      </c>
      <c r="J16" s="298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  <c r="AA16" s="291"/>
      <c r="AB16" s="291"/>
      <c r="AC16" s="291"/>
      <c r="AD16" s="291"/>
      <c r="AE16" s="291"/>
      <c r="AF16" s="291"/>
      <c r="AG16" s="291"/>
      <c r="AH16" s="291"/>
      <c r="AI16" s="291"/>
      <c r="AJ16" s="291"/>
      <c r="AK16" s="291"/>
      <c r="AL16" s="291"/>
      <c r="AM16" s="291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291"/>
      <c r="BA16" s="291"/>
      <c r="BB16" s="291"/>
      <c r="BC16" s="291"/>
      <c r="BD16" s="291"/>
      <c r="BE16" s="291"/>
      <c r="BF16" s="291"/>
      <c r="BG16" s="291"/>
      <c r="BH16" s="291"/>
      <c r="BI16" s="291"/>
      <c r="BJ16" s="291"/>
      <c r="BK16" s="291"/>
      <c r="BL16" s="291"/>
      <c r="BM16" s="291"/>
      <c r="BN16" s="291"/>
      <c r="BO16" s="291"/>
      <c r="BP16" s="291"/>
      <c r="BQ16" s="291"/>
      <c r="BR16" s="291"/>
      <c r="BS16" s="291"/>
      <c r="BT16" s="291"/>
      <c r="BU16" s="291"/>
      <c r="BV16" s="291"/>
      <c r="BW16" s="291"/>
      <c r="BX16" s="291"/>
      <c r="BY16" s="291"/>
      <c r="BZ16" s="291"/>
      <c r="CA16" s="291"/>
    </row>
    <row r="17" spans="1:79" ht="16" x14ac:dyDescent="0.2">
      <c r="A17" s="302" t="s">
        <v>192</v>
      </c>
      <c r="B17" s="303">
        <v>44402</v>
      </c>
      <c r="C17" s="302">
        <v>59</v>
      </c>
      <c r="D17" s="302">
        <v>2</v>
      </c>
      <c r="E17" s="302">
        <v>8</v>
      </c>
      <c r="F17" s="302">
        <v>16</v>
      </c>
      <c r="G17" s="302">
        <v>5</v>
      </c>
      <c r="H17" s="302" t="s">
        <v>86</v>
      </c>
      <c r="I17" s="302">
        <v>16</v>
      </c>
      <c r="J17" s="298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1"/>
      <c r="AH17" s="291"/>
      <c r="AI17" s="291"/>
      <c r="AJ17" s="291"/>
      <c r="AK17" s="291"/>
      <c r="AL17" s="291"/>
      <c r="AM17" s="291"/>
      <c r="AN17" s="291"/>
      <c r="AO17" s="291"/>
      <c r="AP17" s="291"/>
      <c r="AQ17" s="291"/>
      <c r="AR17" s="291"/>
      <c r="AS17" s="291"/>
      <c r="AT17" s="291"/>
      <c r="AU17" s="291"/>
      <c r="AV17" s="291"/>
      <c r="AW17" s="291"/>
      <c r="AX17" s="291"/>
      <c r="AY17" s="291"/>
      <c r="AZ17" s="291"/>
      <c r="BA17" s="291"/>
      <c r="BB17" s="291"/>
      <c r="BC17" s="291"/>
      <c r="BD17" s="291"/>
      <c r="BE17" s="291"/>
      <c r="BF17" s="291"/>
      <c r="BG17" s="291"/>
      <c r="BH17" s="291"/>
      <c r="BI17" s="291"/>
      <c r="BJ17" s="291"/>
      <c r="BK17" s="291"/>
      <c r="BL17" s="291"/>
      <c r="BM17" s="291"/>
      <c r="BN17" s="291"/>
      <c r="BO17" s="291"/>
      <c r="BP17" s="291"/>
      <c r="BQ17" s="291"/>
      <c r="BR17" s="291"/>
      <c r="BS17" s="291"/>
      <c r="BT17" s="291"/>
      <c r="BU17" s="291"/>
      <c r="BV17" s="291"/>
      <c r="BW17" s="291"/>
      <c r="BX17" s="291"/>
      <c r="BY17" s="291"/>
      <c r="BZ17" s="291"/>
      <c r="CA17" s="291"/>
    </row>
    <row r="18" spans="1:79" ht="16" x14ac:dyDescent="0.2">
      <c r="A18" s="290" t="s">
        <v>192</v>
      </c>
      <c r="B18" s="292">
        <v>44402</v>
      </c>
      <c r="C18" s="290">
        <v>59</v>
      </c>
      <c r="D18" s="290">
        <v>2</v>
      </c>
      <c r="E18" s="290">
        <v>8</v>
      </c>
      <c r="F18" s="290">
        <v>17</v>
      </c>
      <c r="G18" s="290">
        <v>5</v>
      </c>
      <c r="H18" s="290" t="s">
        <v>86</v>
      </c>
      <c r="I18" s="290">
        <v>17</v>
      </c>
      <c r="J18" s="298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1"/>
      <c r="AX18" s="291"/>
      <c r="AY18" s="291"/>
      <c r="AZ18" s="291"/>
      <c r="BA18" s="291"/>
      <c r="BB18" s="291"/>
      <c r="BC18" s="291"/>
      <c r="BD18" s="291"/>
      <c r="BE18" s="291"/>
      <c r="BF18" s="291"/>
      <c r="BG18" s="291"/>
      <c r="BH18" s="291"/>
      <c r="BI18" s="291"/>
      <c r="BJ18" s="291"/>
      <c r="BK18" s="291"/>
      <c r="BL18" s="291"/>
      <c r="BM18" s="291"/>
      <c r="BN18" s="291"/>
      <c r="BO18" s="291"/>
      <c r="BP18" s="291"/>
      <c r="BQ18" s="291"/>
      <c r="BR18" s="291"/>
      <c r="BS18" s="291"/>
      <c r="BT18" s="291"/>
      <c r="BU18" s="291"/>
      <c r="BV18" s="291"/>
      <c r="BW18" s="291"/>
      <c r="BX18" s="291"/>
      <c r="BY18" s="291"/>
      <c r="BZ18" s="291"/>
      <c r="CA18" s="291"/>
    </row>
    <row r="19" spans="1:79" ht="16" x14ac:dyDescent="0.2">
      <c r="A19" s="299" t="s">
        <v>192</v>
      </c>
      <c r="B19" s="300">
        <v>44402</v>
      </c>
      <c r="C19" s="299">
        <v>59</v>
      </c>
      <c r="D19" s="299">
        <v>2</v>
      </c>
      <c r="E19" s="299">
        <v>8</v>
      </c>
      <c r="F19" s="299">
        <v>18</v>
      </c>
      <c r="G19" s="299">
        <v>5</v>
      </c>
      <c r="H19" s="299" t="s">
        <v>86</v>
      </c>
      <c r="I19" s="301">
        <v>18</v>
      </c>
      <c r="J19" s="298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1"/>
      <c r="BD19" s="291"/>
      <c r="BE19" s="291"/>
      <c r="BF19" s="291"/>
      <c r="BG19" s="291"/>
      <c r="BH19" s="291"/>
      <c r="BI19" s="291"/>
      <c r="BJ19" s="291"/>
      <c r="BK19" s="291"/>
      <c r="BL19" s="291"/>
      <c r="BM19" s="291"/>
      <c r="BN19" s="291"/>
      <c r="BO19" s="291"/>
      <c r="BP19" s="291"/>
      <c r="BQ19" s="291"/>
      <c r="BR19" s="291"/>
      <c r="BS19" s="291"/>
      <c r="BT19" s="291"/>
      <c r="BU19" s="291"/>
      <c r="BV19" s="291"/>
      <c r="BW19" s="291"/>
      <c r="BX19" s="291"/>
      <c r="BY19" s="291"/>
      <c r="BZ19" s="291"/>
      <c r="CA19" s="291"/>
    </row>
    <row r="20" spans="1:79" ht="16" x14ac:dyDescent="0.2">
      <c r="A20" s="302" t="s">
        <v>192</v>
      </c>
      <c r="B20" s="303">
        <v>44407</v>
      </c>
      <c r="C20" s="302">
        <v>178</v>
      </c>
      <c r="D20" s="302">
        <v>2</v>
      </c>
      <c r="E20" s="302">
        <v>24</v>
      </c>
      <c r="F20" s="302">
        <v>1</v>
      </c>
      <c r="G20" s="302">
        <v>125</v>
      </c>
      <c r="H20" s="302" t="s">
        <v>86</v>
      </c>
      <c r="I20" s="302">
        <v>1</v>
      </c>
      <c r="J20" s="298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1"/>
      <c r="BO20" s="291"/>
      <c r="BP20" s="291"/>
      <c r="BQ20" s="291"/>
      <c r="BR20" s="291"/>
      <c r="BS20" s="291"/>
      <c r="BT20" s="291"/>
      <c r="BU20" s="291"/>
      <c r="BV20" s="291"/>
      <c r="BW20" s="291"/>
      <c r="BX20" s="291"/>
      <c r="BY20" s="291"/>
      <c r="BZ20" s="291"/>
      <c r="CA20" s="291"/>
    </row>
    <row r="21" spans="1:79" ht="16" x14ac:dyDescent="0.2">
      <c r="A21" s="290" t="s">
        <v>192</v>
      </c>
      <c r="B21" s="292">
        <v>44407</v>
      </c>
      <c r="C21" s="290">
        <v>178</v>
      </c>
      <c r="D21" s="290">
        <v>2</v>
      </c>
      <c r="E21" s="290">
        <v>24</v>
      </c>
      <c r="F21" s="290">
        <v>2</v>
      </c>
      <c r="G21" s="290">
        <v>125</v>
      </c>
      <c r="H21" s="290" t="s">
        <v>86</v>
      </c>
      <c r="I21" s="290">
        <v>2</v>
      </c>
      <c r="J21" s="298"/>
      <c r="K21" s="291"/>
      <c r="L21" s="291"/>
      <c r="M21" s="291"/>
      <c r="N21" s="291"/>
      <c r="O21" s="291"/>
      <c r="P21" s="291"/>
      <c r="Q21" s="291"/>
      <c r="R21" s="291"/>
      <c r="S21" s="291"/>
      <c r="T21" s="291"/>
      <c r="U21" s="291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  <c r="AG21" s="291"/>
      <c r="AH21" s="291"/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291"/>
      <c r="BA21" s="291"/>
      <c r="BB21" s="291"/>
      <c r="BC21" s="291"/>
      <c r="BD21" s="291"/>
      <c r="BE21" s="291"/>
      <c r="BF21" s="291"/>
      <c r="BG21" s="291"/>
      <c r="BH21" s="291"/>
      <c r="BI21" s="291"/>
      <c r="BJ21" s="291"/>
      <c r="BK21" s="291"/>
      <c r="BL21" s="291"/>
      <c r="BM21" s="291"/>
      <c r="BN21" s="291"/>
      <c r="BO21" s="291"/>
      <c r="BP21" s="291"/>
      <c r="BQ21" s="291"/>
      <c r="BR21" s="291"/>
      <c r="BS21" s="291"/>
      <c r="BT21" s="291"/>
      <c r="BU21" s="291"/>
      <c r="BV21" s="291"/>
      <c r="BW21" s="291"/>
      <c r="BX21" s="291"/>
      <c r="BY21" s="291"/>
      <c r="BZ21" s="291"/>
      <c r="CA21" s="291"/>
    </row>
    <row r="22" spans="1:79" ht="16" x14ac:dyDescent="0.2">
      <c r="A22" s="290" t="s">
        <v>192</v>
      </c>
      <c r="B22" s="292">
        <v>44407</v>
      </c>
      <c r="C22" s="290">
        <v>178</v>
      </c>
      <c r="D22" s="290">
        <v>2</v>
      </c>
      <c r="E22" s="290">
        <v>24</v>
      </c>
      <c r="F22" s="290">
        <v>3</v>
      </c>
      <c r="G22" s="290">
        <v>125</v>
      </c>
      <c r="H22" s="290" t="s">
        <v>86</v>
      </c>
      <c r="I22" s="290">
        <v>3</v>
      </c>
      <c r="J22" s="298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291"/>
      <c r="BA22" s="291"/>
      <c r="BB22" s="291"/>
      <c r="BC22" s="291"/>
      <c r="BD22" s="291"/>
      <c r="BE22" s="291"/>
      <c r="BF22" s="291"/>
      <c r="BG22" s="291"/>
      <c r="BH22" s="291"/>
      <c r="BI22" s="291"/>
      <c r="BJ22" s="291"/>
      <c r="BK22" s="291"/>
      <c r="BL22" s="291"/>
      <c r="BM22" s="291"/>
      <c r="BN22" s="291"/>
      <c r="BO22" s="291"/>
      <c r="BP22" s="291"/>
      <c r="BQ22" s="291"/>
      <c r="BR22" s="291"/>
      <c r="BS22" s="291"/>
      <c r="BT22" s="291"/>
      <c r="BU22" s="291"/>
      <c r="BV22" s="291"/>
      <c r="BW22" s="291"/>
      <c r="BX22" s="291"/>
      <c r="BY22" s="291"/>
      <c r="BZ22" s="291"/>
      <c r="CA22" s="291"/>
    </row>
    <row r="23" spans="1:79" ht="16" x14ac:dyDescent="0.2">
      <c r="A23" s="302" t="s">
        <v>192</v>
      </c>
      <c r="B23" s="303">
        <v>44407</v>
      </c>
      <c r="C23" s="302">
        <v>178</v>
      </c>
      <c r="D23" s="302">
        <v>2</v>
      </c>
      <c r="E23" s="302">
        <v>24</v>
      </c>
      <c r="F23" s="302">
        <v>4</v>
      </c>
      <c r="G23" s="302">
        <v>100</v>
      </c>
      <c r="H23" s="302" t="s">
        <v>86</v>
      </c>
      <c r="I23" s="302">
        <v>4</v>
      </c>
      <c r="J23" s="298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  <c r="AA23" s="291"/>
      <c r="AB23" s="291"/>
      <c r="AC23" s="291"/>
      <c r="AD23" s="291"/>
      <c r="AE23" s="291"/>
      <c r="AF23" s="291"/>
      <c r="AG23" s="291"/>
      <c r="AH23" s="291"/>
      <c r="AI23" s="291"/>
      <c r="AJ23" s="291"/>
      <c r="AK23" s="291"/>
      <c r="AL23" s="291"/>
      <c r="AM23" s="291"/>
      <c r="AN23" s="291"/>
      <c r="AO23" s="291"/>
      <c r="AP23" s="291"/>
      <c r="AQ23" s="291"/>
      <c r="AR23" s="291"/>
      <c r="AS23" s="291"/>
      <c r="AT23" s="291"/>
      <c r="AU23" s="291"/>
      <c r="AV23" s="291"/>
      <c r="AW23" s="291"/>
      <c r="AX23" s="291"/>
      <c r="AY23" s="291"/>
      <c r="AZ23" s="291"/>
      <c r="BA23" s="291"/>
      <c r="BB23" s="291"/>
      <c r="BC23" s="291"/>
      <c r="BD23" s="291"/>
      <c r="BE23" s="291"/>
      <c r="BF23" s="291"/>
      <c r="BG23" s="291"/>
      <c r="BH23" s="291"/>
      <c r="BI23" s="291"/>
      <c r="BJ23" s="291"/>
      <c r="BK23" s="291"/>
      <c r="BL23" s="291"/>
      <c r="BM23" s="291"/>
      <c r="BN23" s="291"/>
      <c r="BO23" s="291"/>
      <c r="BP23" s="291"/>
      <c r="BQ23" s="291"/>
      <c r="BR23" s="291"/>
      <c r="BS23" s="291"/>
      <c r="BT23" s="291"/>
      <c r="BU23" s="291"/>
      <c r="BV23" s="291"/>
      <c r="BW23" s="291"/>
      <c r="BX23" s="291"/>
      <c r="BY23" s="291"/>
      <c r="BZ23" s="291"/>
      <c r="CA23" s="291"/>
    </row>
    <row r="24" spans="1:79" ht="16" x14ac:dyDescent="0.2">
      <c r="A24" s="290" t="s">
        <v>192</v>
      </c>
      <c r="B24" s="292">
        <v>44407</v>
      </c>
      <c r="C24" s="290">
        <v>178</v>
      </c>
      <c r="D24" s="290">
        <v>2</v>
      </c>
      <c r="E24" s="290">
        <v>24</v>
      </c>
      <c r="F24" s="290">
        <v>5</v>
      </c>
      <c r="G24" s="290">
        <v>100</v>
      </c>
      <c r="H24" s="290" t="s">
        <v>86</v>
      </c>
      <c r="I24" s="290">
        <v>5</v>
      </c>
      <c r="J24" s="298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1"/>
      <c r="AQ24" s="291"/>
      <c r="AR24" s="291"/>
      <c r="AS24" s="291"/>
      <c r="AT24" s="291"/>
      <c r="AU24" s="291"/>
      <c r="AV24" s="291"/>
      <c r="AW24" s="291"/>
      <c r="AX24" s="291"/>
      <c r="AY24" s="291"/>
      <c r="AZ24" s="291"/>
      <c r="BA24" s="291"/>
      <c r="BB24" s="291"/>
      <c r="BC24" s="291"/>
      <c r="BD24" s="291"/>
      <c r="BE24" s="291"/>
      <c r="BF24" s="291"/>
      <c r="BG24" s="291"/>
      <c r="BH24" s="291"/>
      <c r="BI24" s="291"/>
      <c r="BJ24" s="291"/>
      <c r="BK24" s="291"/>
      <c r="BL24" s="291"/>
      <c r="BM24" s="291"/>
      <c r="BN24" s="291"/>
      <c r="BO24" s="291"/>
      <c r="BP24" s="291"/>
      <c r="BQ24" s="291"/>
      <c r="BR24" s="291"/>
      <c r="BS24" s="291"/>
      <c r="BT24" s="291"/>
      <c r="BU24" s="291"/>
      <c r="BV24" s="291"/>
      <c r="BW24" s="291"/>
      <c r="BX24" s="291"/>
      <c r="BY24" s="291"/>
      <c r="BZ24" s="291"/>
      <c r="CA24" s="291"/>
    </row>
    <row r="25" spans="1:79" ht="16" x14ac:dyDescent="0.2">
      <c r="A25" s="290" t="s">
        <v>192</v>
      </c>
      <c r="B25" s="292">
        <v>44407</v>
      </c>
      <c r="C25" s="290">
        <v>178</v>
      </c>
      <c r="D25" s="290">
        <v>2</v>
      </c>
      <c r="E25" s="290">
        <v>24</v>
      </c>
      <c r="F25" s="290">
        <v>6</v>
      </c>
      <c r="G25" s="290">
        <v>100</v>
      </c>
      <c r="H25" s="290" t="s">
        <v>86</v>
      </c>
      <c r="I25" s="290">
        <v>6</v>
      </c>
      <c r="J25" s="298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1"/>
      <c r="AK25" s="291"/>
      <c r="AL25" s="291"/>
      <c r="AM25" s="291"/>
      <c r="AN25" s="291"/>
      <c r="AO25" s="291"/>
      <c r="AP25" s="291"/>
      <c r="AQ25" s="291"/>
      <c r="AR25" s="291"/>
      <c r="AS25" s="291"/>
      <c r="AT25" s="291"/>
      <c r="AU25" s="291"/>
      <c r="AV25" s="291"/>
      <c r="AW25" s="291"/>
      <c r="AX25" s="291"/>
      <c r="AY25" s="291"/>
      <c r="AZ25" s="291"/>
      <c r="BA25" s="291"/>
      <c r="BB25" s="291"/>
      <c r="BC25" s="291"/>
      <c r="BD25" s="291"/>
      <c r="BE25" s="291"/>
      <c r="BF25" s="291"/>
      <c r="BG25" s="291"/>
      <c r="BH25" s="291"/>
      <c r="BI25" s="291"/>
      <c r="BJ25" s="291"/>
      <c r="BK25" s="291"/>
      <c r="BL25" s="291"/>
      <c r="BM25" s="291"/>
      <c r="BN25" s="291"/>
      <c r="BO25" s="291"/>
      <c r="BP25" s="291"/>
      <c r="BQ25" s="291"/>
      <c r="BR25" s="291"/>
      <c r="BS25" s="291"/>
      <c r="BT25" s="291"/>
      <c r="BU25" s="291"/>
      <c r="BV25" s="291"/>
      <c r="BW25" s="291"/>
      <c r="BX25" s="291"/>
      <c r="BY25" s="291"/>
      <c r="BZ25" s="291"/>
      <c r="CA25" s="291"/>
    </row>
    <row r="26" spans="1:79" ht="16" x14ac:dyDescent="0.2">
      <c r="A26" s="302" t="s">
        <v>192</v>
      </c>
      <c r="B26" s="303">
        <v>44407</v>
      </c>
      <c r="C26" s="302">
        <v>178</v>
      </c>
      <c r="D26" s="302">
        <v>2</v>
      </c>
      <c r="E26" s="302">
        <v>24</v>
      </c>
      <c r="F26" s="302">
        <v>7</v>
      </c>
      <c r="G26" s="302">
        <v>75</v>
      </c>
      <c r="H26" s="302" t="s">
        <v>86</v>
      </c>
      <c r="I26" s="302">
        <v>7</v>
      </c>
      <c r="J26" s="298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/>
      <c r="AX26" s="291"/>
      <c r="AY26" s="291"/>
      <c r="AZ26" s="291"/>
      <c r="BA26" s="291"/>
      <c r="BB26" s="291"/>
      <c r="BC26" s="291"/>
      <c r="BD26" s="291"/>
      <c r="BE26" s="291"/>
      <c r="BF26" s="291"/>
      <c r="BG26" s="291"/>
      <c r="BH26" s="291"/>
      <c r="BI26" s="291"/>
      <c r="BJ26" s="291"/>
      <c r="BK26" s="291"/>
      <c r="BL26" s="291"/>
      <c r="BM26" s="291"/>
      <c r="BN26" s="291"/>
      <c r="BO26" s="291"/>
      <c r="BP26" s="291"/>
      <c r="BQ26" s="291"/>
      <c r="BR26" s="291"/>
      <c r="BS26" s="291"/>
      <c r="BT26" s="291"/>
      <c r="BU26" s="291"/>
      <c r="BV26" s="291"/>
      <c r="BW26" s="291"/>
      <c r="BX26" s="291"/>
      <c r="BY26" s="291"/>
      <c r="BZ26" s="291"/>
      <c r="CA26" s="291"/>
    </row>
    <row r="27" spans="1:79" ht="16" x14ac:dyDescent="0.2">
      <c r="A27" s="290" t="s">
        <v>192</v>
      </c>
      <c r="B27" s="292">
        <v>44407</v>
      </c>
      <c r="C27" s="290">
        <v>178</v>
      </c>
      <c r="D27" s="290">
        <v>2</v>
      </c>
      <c r="E27" s="290">
        <v>24</v>
      </c>
      <c r="F27" s="290">
        <v>8</v>
      </c>
      <c r="G27" s="290">
        <v>75</v>
      </c>
      <c r="H27" s="290" t="s">
        <v>86</v>
      </c>
      <c r="I27" s="290">
        <v>8</v>
      </c>
      <c r="J27" s="298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1"/>
      <c r="AY27" s="291"/>
      <c r="AZ27" s="291"/>
      <c r="BA27" s="291"/>
      <c r="BB27" s="291"/>
      <c r="BC27" s="291"/>
      <c r="BD27" s="291"/>
      <c r="BE27" s="291"/>
      <c r="BF27" s="291"/>
      <c r="BG27" s="291"/>
      <c r="BH27" s="291"/>
      <c r="BI27" s="291"/>
      <c r="BJ27" s="291"/>
      <c r="BK27" s="291"/>
      <c r="BL27" s="291"/>
      <c r="BM27" s="291"/>
      <c r="BN27" s="291"/>
      <c r="BO27" s="291"/>
      <c r="BP27" s="291"/>
      <c r="BQ27" s="291"/>
      <c r="BR27" s="291"/>
      <c r="BS27" s="291"/>
      <c r="BT27" s="291"/>
      <c r="BU27" s="291"/>
      <c r="BV27" s="291"/>
      <c r="BW27" s="291"/>
      <c r="BX27" s="291"/>
      <c r="BY27" s="291"/>
      <c r="BZ27" s="291"/>
      <c r="CA27" s="291"/>
    </row>
    <row r="28" spans="1:79" ht="16" x14ac:dyDescent="0.2">
      <c r="A28" s="290" t="s">
        <v>192</v>
      </c>
      <c r="B28" s="292">
        <v>44407</v>
      </c>
      <c r="C28" s="290">
        <v>178</v>
      </c>
      <c r="D28" s="290">
        <v>2</v>
      </c>
      <c r="E28" s="290">
        <v>24</v>
      </c>
      <c r="F28" s="290">
        <v>9</v>
      </c>
      <c r="G28" s="290">
        <v>75</v>
      </c>
      <c r="H28" s="290" t="s">
        <v>86</v>
      </c>
      <c r="I28" s="290">
        <v>9</v>
      </c>
      <c r="J28" s="298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1"/>
      <c r="AY28" s="291"/>
      <c r="AZ28" s="291"/>
      <c r="BA28" s="291"/>
      <c r="BB28" s="291"/>
      <c r="BC28" s="291"/>
      <c r="BD28" s="291"/>
      <c r="BE28" s="291"/>
      <c r="BF28" s="291"/>
      <c r="BG28" s="291"/>
      <c r="BH28" s="291"/>
      <c r="BI28" s="291"/>
      <c r="BJ28" s="291"/>
      <c r="BK28" s="291"/>
      <c r="BL28" s="291"/>
      <c r="BM28" s="291"/>
      <c r="BN28" s="291"/>
      <c r="BO28" s="291"/>
      <c r="BP28" s="291"/>
      <c r="BQ28" s="291"/>
      <c r="BR28" s="291"/>
      <c r="BS28" s="291"/>
      <c r="BT28" s="291"/>
      <c r="BU28" s="291"/>
      <c r="BV28" s="291"/>
      <c r="BW28" s="291"/>
      <c r="BX28" s="291"/>
      <c r="BY28" s="291"/>
      <c r="BZ28" s="291"/>
      <c r="CA28" s="291"/>
    </row>
    <row r="29" spans="1:79" ht="16" x14ac:dyDescent="0.2">
      <c r="A29" s="302" t="s">
        <v>192</v>
      </c>
      <c r="B29" s="303">
        <v>44407</v>
      </c>
      <c r="C29" s="302">
        <v>178</v>
      </c>
      <c r="D29" s="302">
        <v>2</v>
      </c>
      <c r="E29" s="302">
        <v>24</v>
      </c>
      <c r="F29" s="302">
        <v>10</v>
      </c>
      <c r="G29" s="302">
        <v>45</v>
      </c>
      <c r="H29" s="302" t="s">
        <v>86</v>
      </c>
      <c r="I29" s="302">
        <v>10</v>
      </c>
      <c r="J29" s="298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  <c r="AA29" s="291"/>
      <c r="AB29" s="291"/>
      <c r="AC29" s="291"/>
      <c r="AD29" s="291"/>
      <c r="AE29" s="291"/>
      <c r="AF29" s="291"/>
      <c r="AG29" s="291"/>
      <c r="AH29" s="291"/>
      <c r="AI29" s="291"/>
      <c r="AJ29" s="291"/>
      <c r="AK29" s="291"/>
      <c r="AL29" s="291"/>
      <c r="AM29" s="291"/>
      <c r="AN29" s="291"/>
      <c r="AO29" s="291"/>
      <c r="AP29" s="291"/>
      <c r="AQ29" s="291"/>
      <c r="AR29" s="291"/>
      <c r="AS29" s="291"/>
      <c r="AT29" s="291"/>
      <c r="AU29" s="291"/>
      <c r="AV29" s="291"/>
      <c r="AW29" s="291"/>
      <c r="AX29" s="291"/>
      <c r="AY29" s="291"/>
      <c r="AZ29" s="291"/>
      <c r="BA29" s="291"/>
      <c r="BB29" s="291"/>
      <c r="BC29" s="291"/>
      <c r="BD29" s="291"/>
      <c r="BE29" s="291"/>
      <c r="BF29" s="291"/>
      <c r="BG29" s="291"/>
      <c r="BH29" s="291"/>
      <c r="BI29" s="291"/>
      <c r="BJ29" s="291"/>
      <c r="BK29" s="291"/>
      <c r="BL29" s="291"/>
      <c r="BM29" s="291"/>
      <c r="BN29" s="291"/>
      <c r="BO29" s="291"/>
      <c r="BP29" s="291"/>
      <c r="BQ29" s="291"/>
      <c r="BR29" s="291"/>
      <c r="BS29" s="291"/>
      <c r="BT29" s="291"/>
      <c r="BU29" s="291"/>
      <c r="BV29" s="291"/>
      <c r="BW29" s="291"/>
      <c r="BX29" s="291"/>
      <c r="BY29" s="291"/>
      <c r="BZ29" s="291"/>
      <c r="CA29" s="291"/>
    </row>
    <row r="30" spans="1:79" ht="16" x14ac:dyDescent="0.2">
      <c r="A30" s="290" t="s">
        <v>192</v>
      </c>
      <c r="B30" s="292">
        <v>44407</v>
      </c>
      <c r="C30" s="290">
        <v>178</v>
      </c>
      <c r="D30" s="290">
        <v>2</v>
      </c>
      <c r="E30" s="290">
        <v>24</v>
      </c>
      <c r="F30" s="290">
        <v>12</v>
      </c>
      <c r="G30" s="290">
        <v>45</v>
      </c>
      <c r="H30" s="290" t="s">
        <v>86</v>
      </c>
      <c r="I30" s="290">
        <v>11</v>
      </c>
      <c r="J30" s="298" t="s">
        <v>194</v>
      </c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  <c r="AM30" s="291"/>
      <c r="AN30" s="291"/>
      <c r="AO30" s="291"/>
      <c r="AP30" s="291"/>
      <c r="AQ30" s="291"/>
      <c r="AR30" s="291"/>
      <c r="AS30" s="291"/>
      <c r="AT30" s="291"/>
      <c r="AU30" s="291"/>
      <c r="AV30" s="291"/>
      <c r="AW30" s="291"/>
      <c r="AX30" s="291"/>
      <c r="AY30" s="291"/>
      <c r="AZ30" s="291"/>
      <c r="BA30" s="291"/>
      <c r="BB30" s="291"/>
      <c r="BC30" s="291"/>
      <c r="BD30" s="291"/>
      <c r="BE30" s="291"/>
      <c r="BF30" s="291"/>
      <c r="BG30" s="291"/>
      <c r="BH30" s="291"/>
      <c r="BI30" s="291"/>
      <c r="BJ30" s="291"/>
      <c r="BK30" s="291"/>
      <c r="BL30" s="291"/>
      <c r="BM30" s="291"/>
      <c r="BN30" s="291"/>
      <c r="BO30" s="291"/>
      <c r="BP30" s="291"/>
      <c r="BQ30" s="291"/>
      <c r="BR30" s="291"/>
      <c r="BS30" s="291"/>
      <c r="BT30" s="291"/>
      <c r="BU30" s="291"/>
      <c r="BV30" s="291"/>
      <c r="BW30" s="291"/>
      <c r="BX30" s="291"/>
      <c r="BY30" s="291"/>
      <c r="BZ30" s="291"/>
      <c r="CA30" s="291"/>
    </row>
    <row r="31" spans="1:79" ht="16" x14ac:dyDescent="0.2">
      <c r="A31" s="290" t="s">
        <v>192</v>
      </c>
      <c r="B31" s="292">
        <v>44407</v>
      </c>
      <c r="C31" s="290">
        <v>178</v>
      </c>
      <c r="D31" s="290">
        <v>2</v>
      </c>
      <c r="E31" s="290">
        <v>24</v>
      </c>
      <c r="F31" s="290">
        <v>12</v>
      </c>
      <c r="G31" s="290">
        <v>45</v>
      </c>
      <c r="H31" s="290" t="s">
        <v>86</v>
      </c>
      <c r="I31" s="290">
        <v>12</v>
      </c>
      <c r="J31" s="298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291"/>
      <c r="AQ31" s="291"/>
      <c r="AR31" s="291"/>
      <c r="AS31" s="291"/>
      <c r="AT31" s="291"/>
      <c r="AU31" s="291"/>
      <c r="AV31" s="291"/>
      <c r="AW31" s="291"/>
      <c r="AX31" s="291"/>
      <c r="AY31" s="291"/>
      <c r="AZ31" s="291"/>
      <c r="BA31" s="291"/>
      <c r="BB31" s="291"/>
      <c r="BC31" s="291"/>
      <c r="BD31" s="291"/>
      <c r="BE31" s="291"/>
      <c r="BF31" s="291"/>
      <c r="BG31" s="291"/>
      <c r="BH31" s="291"/>
      <c r="BI31" s="291"/>
      <c r="BJ31" s="291"/>
      <c r="BK31" s="291"/>
      <c r="BL31" s="291"/>
      <c r="BM31" s="291"/>
      <c r="BN31" s="291"/>
      <c r="BO31" s="291"/>
      <c r="BP31" s="291"/>
      <c r="BQ31" s="291"/>
      <c r="BR31" s="291"/>
      <c r="BS31" s="291"/>
      <c r="BT31" s="291"/>
      <c r="BU31" s="291"/>
      <c r="BV31" s="291"/>
      <c r="BW31" s="291"/>
      <c r="BX31" s="291"/>
      <c r="BY31" s="291"/>
      <c r="BZ31" s="291"/>
      <c r="CA31" s="291"/>
    </row>
    <row r="32" spans="1:79" ht="16" x14ac:dyDescent="0.2">
      <c r="A32" s="318" t="s">
        <v>192</v>
      </c>
      <c r="B32" s="319">
        <v>44407</v>
      </c>
      <c r="C32" s="318">
        <v>178</v>
      </c>
      <c r="D32" s="318">
        <v>2</v>
      </c>
      <c r="E32" s="318">
        <v>24</v>
      </c>
      <c r="F32" s="318">
        <v>13</v>
      </c>
      <c r="G32" s="318">
        <v>25</v>
      </c>
      <c r="H32" s="318" t="s">
        <v>86</v>
      </c>
      <c r="I32" s="318">
        <v>13</v>
      </c>
      <c r="J32" s="298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291"/>
      <c r="AX32" s="291"/>
      <c r="AY32" s="291"/>
      <c r="AZ32" s="291"/>
      <c r="BA32" s="291"/>
      <c r="BB32" s="291"/>
      <c r="BC32" s="291"/>
      <c r="BD32" s="291"/>
      <c r="BE32" s="291"/>
      <c r="BF32" s="291"/>
      <c r="BG32" s="291"/>
      <c r="BH32" s="291"/>
      <c r="BI32" s="291"/>
      <c r="BJ32" s="291"/>
      <c r="BK32" s="291"/>
      <c r="BL32" s="291"/>
      <c r="BM32" s="291"/>
      <c r="BN32" s="291"/>
      <c r="BO32" s="291"/>
      <c r="BP32" s="291"/>
      <c r="BQ32" s="291"/>
      <c r="BR32" s="291"/>
      <c r="BS32" s="291"/>
      <c r="BT32" s="291"/>
      <c r="BU32" s="291"/>
      <c r="BV32" s="291"/>
      <c r="BW32" s="291"/>
      <c r="BX32" s="291"/>
      <c r="BY32" s="291"/>
      <c r="BZ32" s="291"/>
      <c r="CA32" s="291"/>
    </row>
    <row r="33" spans="1:79" ht="16" x14ac:dyDescent="0.2">
      <c r="A33" s="290" t="s">
        <v>192</v>
      </c>
      <c r="B33" s="292">
        <v>44407</v>
      </c>
      <c r="C33" s="290">
        <v>178</v>
      </c>
      <c r="D33" s="290">
        <v>2</v>
      </c>
      <c r="E33" s="290">
        <v>24</v>
      </c>
      <c r="F33" s="290">
        <v>14</v>
      </c>
      <c r="G33" s="290">
        <v>25</v>
      </c>
      <c r="H33" s="290" t="s">
        <v>86</v>
      </c>
      <c r="I33" s="290">
        <v>14</v>
      </c>
      <c r="J33" s="298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291"/>
      <c r="AX33" s="291"/>
      <c r="AY33" s="291"/>
      <c r="AZ33" s="291"/>
      <c r="BA33" s="291"/>
      <c r="BB33" s="291"/>
      <c r="BC33" s="291"/>
      <c r="BD33" s="291"/>
      <c r="BE33" s="291"/>
      <c r="BF33" s="291"/>
      <c r="BG33" s="291"/>
      <c r="BH33" s="291"/>
      <c r="BI33" s="291"/>
      <c r="BJ33" s="291"/>
      <c r="BK33" s="291"/>
      <c r="BL33" s="291"/>
      <c r="BM33" s="291"/>
      <c r="BN33" s="291"/>
      <c r="BO33" s="291"/>
      <c r="BP33" s="291"/>
      <c r="BQ33" s="291"/>
      <c r="BR33" s="291"/>
      <c r="BS33" s="291"/>
      <c r="BT33" s="291"/>
      <c r="BU33" s="291"/>
      <c r="BV33" s="291"/>
      <c r="BW33" s="291"/>
      <c r="BX33" s="291"/>
      <c r="BY33" s="291"/>
      <c r="BZ33" s="291"/>
      <c r="CA33" s="291"/>
    </row>
    <row r="34" spans="1:79" ht="16" x14ac:dyDescent="0.2">
      <c r="A34" s="290" t="s">
        <v>192</v>
      </c>
      <c r="B34" s="292">
        <v>44407</v>
      </c>
      <c r="C34" s="290">
        <v>178</v>
      </c>
      <c r="D34" s="290">
        <v>2</v>
      </c>
      <c r="E34" s="290">
        <v>24</v>
      </c>
      <c r="F34" s="290">
        <v>15</v>
      </c>
      <c r="G34" s="290">
        <v>25</v>
      </c>
      <c r="H34" s="290" t="s">
        <v>86</v>
      </c>
      <c r="I34" s="290">
        <v>15</v>
      </c>
      <c r="J34" s="298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291"/>
      <c r="AX34" s="291"/>
      <c r="AY34" s="291"/>
      <c r="AZ34" s="291"/>
      <c r="BA34" s="291"/>
      <c r="BB34" s="291"/>
      <c r="BC34" s="291"/>
      <c r="BD34" s="291"/>
      <c r="BE34" s="291"/>
      <c r="BF34" s="291"/>
      <c r="BG34" s="291"/>
      <c r="BH34" s="291"/>
      <c r="BI34" s="291"/>
      <c r="BJ34" s="291"/>
      <c r="BK34" s="291"/>
      <c r="BL34" s="291"/>
      <c r="BM34" s="291"/>
      <c r="BN34" s="291"/>
      <c r="BO34" s="291"/>
      <c r="BP34" s="291"/>
      <c r="BQ34" s="291"/>
      <c r="BR34" s="291"/>
      <c r="BS34" s="291"/>
      <c r="BT34" s="291"/>
      <c r="BU34" s="291"/>
      <c r="BV34" s="291"/>
      <c r="BW34" s="291"/>
      <c r="BX34" s="291"/>
      <c r="BY34" s="291"/>
      <c r="BZ34" s="291"/>
      <c r="CA34" s="291"/>
    </row>
    <row r="35" spans="1:79" ht="16" x14ac:dyDescent="0.2">
      <c r="A35" s="318" t="s">
        <v>192</v>
      </c>
      <c r="B35" s="319">
        <v>44407</v>
      </c>
      <c r="C35" s="318">
        <v>178</v>
      </c>
      <c r="D35" s="318">
        <v>2</v>
      </c>
      <c r="E35" s="318">
        <v>24</v>
      </c>
      <c r="F35" s="318">
        <v>16</v>
      </c>
      <c r="G35" s="318">
        <v>5</v>
      </c>
      <c r="H35" s="318" t="s">
        <v>86</v>
      </c>
      <c r="I35" s="318">
        <v>16</v>
      </c>
      <c r="J35" s="298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291"/>
      <c r="AX35" s="291"/>
      <c r="AY35" s="291"/>
      <c r="AZ35" s="291"/>
      <c r="BA35" s="291"/>
      <c r="BB35" s="291"/>
      <c r="BC35" s="291"/>
      <c r="BD35" s="291"/>
      <c r="BE35" s="291"/>
      <c r="BF35" s="291"/>
      <c r="BG35" s="291"/>
      <c r="BH35" s="291"/>
      <c r="BI35" s="291"/>
      <c r="BJ35" s="291"/>
      <c r="BK35" s="291"/>
      <c r="BL35" s="291"/>
      <c r="BM35" s="291"/>
      <c r="BN35" s="291"/>
      <c r="BO35" s="291"/>
      <c r="BP35" s="291"/>
      <c r="BQ35" s="291"/>
      <c r="BR35" s="291"/>
      <c r="BS35" s="291"/>
      <c r="BT35" s="291"/>
      <c r="BU35" s="291"/>
      <c r="BV35" s="291"/>
      <c r="BW35" s="291"/>
      <c r="BX35" s="291"/>
      <c r="BY35" s="291"/>
      <c r="BZ35" s="291"/>
      <c r="CA35" s="291"/>
    </row>
    <row r="36" spans="1:79" ht="16" x14ac:dyDescent="0.2">
      <c r="A36" s="290" t="s">
        <v>192</v>
      </c>
      <c r="B36" s="292">
        <v>44407</v>
      </c>
      <c r="C36" s="290">
        <v>178</v>
      </c>
      <c r="D36" s="290">
        <v>2</v>
      </c>
      <c r="E36" s="290">
        <v>24</v>
      </c>
      <c r="F36" s="290">
        <v>17</v>
      </c>
      <c r="G36" s="290">
        <v>5</v>
      </c>
      <c r="H36" s="290" t="s">
        <v>86</v>
      </c>
      <c r="I36" s="290">
        <v>17</v>
      </c>
      <c r="J36" s="298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1"/>
      <c r="AX36" s="291"/>
      <c r="AY36" s="291"/>
      <c r="AZ36" s="291"/>
      <c r="BA36" s="291"/>
      <c r="BB36" s="291"/>
      <c r="BC36" s="291"/>
      <c r="BD36" s="291"/>
      <c r="BE36" s="291"/>
      <c r="BF36" s="291"/>
      <c r="BG36" s="291"/>
      <c r="BH36" s="291"/>
      <c r="BI36" s="291"/>
      <c r="BJ36" s="291"/>
      <c r="BK36" s="291"/>
      <c r="BL36" s="291"/>
      <c r="BM36" s="291"/>
      <c r="BN36" s="291"/>
      <c r="BO36" s="291"/>
      <c r="BP36" s="291"/>
      <c r="BQ36" s="291"/>
      <c r="BR36" s="291"/>
      <c r="BS36" s="291"/>
      <c r="BT36" s="291"/>
      <c r="BU36" s="291"/>
      <c r="BV36" s="291"/>
      <c r="BW36" s="291"/>
      <c r="BX36" s="291"/>
      <c r="BY36" s="291"/>
      <c r="BZ36" s="291"/>
      <c r="CA36" s="291"/>
    </row>
    <row r="37" spans="1:79" ht="16" x14ac:dyDescent="0.2">
      <c r="A37" s="299" t="s">
        <v>192</v>
      </c>
      <c r="B37" s="300">
        <v>44407</v>
      </c>
      <c r="C37" s="299">
        <v>178</v>
      </c>
      <c r="D37" s="299">
        <v>2</v>
      </c>
      <c r="E37" s="299">
        <v>24</v>
      </c>
      <c r="F37" s="299">
        <v>18</v>
      </c>
      <c r="G37" s="299">
        <v>5</v>
      </c>
      <c r="H37" s="299" t="s">
        <v>86</v>
      </c>
      <c r="I37" s="301">
        <v>18</v>
      </c>
      <c r="J37" s="298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291"/>
      <c r="AX37" s="291"/>
      <c r="AY37" s="291"/>
      <c r="AZ37" s="291"/>
      <c r="BA37" s="291"/>
      <c r="BB37" s="291"/>
      <c r="BC37" s="291"/>
      <c r="BD37" s="291"/>
      <c r="BE37" s="291"/>
      <c r="BF37" s="291"/>
      <c r="BG37" s="291"/>
      <c r="BH37" s="291"/>
      <c r="BI37" s="291"/>
      <c r="BJ37" s="291"/>
      <c r="BK37" s="291"/>
      <c r="BL37" s="291"/>
      <c r="BM37" s="291"/>
      <c r="BN37" s="291"/>
      <c r="BO37" s="291"/>
      <c r="BP37" s="291"/>
      <c r="BQ37" s="291"/>
      <c r="BR37" s="291"/>
      <c r="BS37" s="291"/>
      <c r="BT37" s="291"/>
      <c r="BU37" s="291"/>
      <c r="BV37" s="291"/>
      <c r="BW37" s="291"/>
      <c r="BX37" s="291"/>
      <c r="BY37" s="291"/>
      <c r="BZ37" s="291"/>
      <c r="CA37" s="291"/>
    </row>
    <row r="38" spans="1:79" ht="16" x14ac:dyDescent="0.2">
      <c r="A38" s="302" t="s">
        <v>192</v>
      </c>
      <c r="B38" s="303">
        <v>44410</v>
      </c>
      <c r="C38" s="302">
        <v>252</v>
      </c>
      <c r="D38" s="302">
        <v>2</v>
      </c>
      <c r="E38" s="302">
        <v>38</v>
      </c>
      <c r="F38" s="302">
        <v>1</v>
      </c>
      <c r="G38" s="302">
        <v>125</v>
      </c>
      <c r="H38" s="302" t="s">
        <v>86</v>
      </c>
      <c r="I38" s="302">
        <v>1</v>
      </c>
      <c r="J38" s="298" t="s">
        <v>195</v>
      </c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291"/>
      <c r="AX38" s="291"/>
      <c r="AY38" s="291"/>
      <c r="AZ38" s="291"/>
      <c r="BA38" s="291"/>
      <c r="BB38" s="291"/>
      <c r="BC38" s="291"/>
      <c r="BD38" s="291"/>
      <c r="BE38" s="291"/>
      <c r="BF38" s="291"/>
      <c r="BG38" s="291"/>
      <c r="BH38" s="291"/>
      <c r="BI38" s="291"/>
      <c r="BJ38" s="291"/>
      <c r="BK38" s="291"/>
      <c r="BL38" s="291"/>
      <c r="BM38" s="291"/>
      <c r="BN38" s="291"/>
      <c r="BO38" s="291"/>
      <c r="BP38" s="291"/>
      <c r="BQ38" s="291"/>
      <c r="BR38" s="291"/>
      <c r="BS38" s="291"/>
      <c r="BT38" s="291"/>
      <c r="BU38" s="291"/>
      <c r="BV38" s="291"/>
      <c r="BW38" s="291"/>
      <c r="BX38" s="291"/>
      <c r="BY38" s="291"/>
      <c r="BZ38" s="291"/>
      <c r="CA38" s="291"/>
    </row>
    <row r="39" spans="1:79" ht="16" x14ac:dyDescent="0.2">
      <c r="A39" s="290" t="s">
        <v>192</v>
      </c>
      <c r="B39" s="292">
        <v>44410</v>
      </c>
      <c r="C39" s="290">
        <v>252</v>
      </c>
      <c r="D39" s="290">
        <v>2</v>
      </c>
      <c r="E39" s="290">
        <v>38</v>
      </c>
      <c r="F39" s="290">
        <v>2</v>
      </c>
      <c r="G39" s="290">
        <v>125</v>
      </c>
      <c r="H39" s="290" t="s">
        <v>86</v>
      </c>
      <c r="I39" s="290">
        <v>2</v>
      </c>
      <c r="J39" s="298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291"/>
      <c r="AX39" s="291"/>
      <c r="AY39" s="291"/>
      <c r="AZ39" s="291"/>
      <c r="BA39" s="291"/>
      <c r="BB39" s="291"/>
      <c r="BC39" s="291"/>
      <c r="BD39" s="291"/>
      <c r="BE39" s="291"/>
      <c r="BF39" s="291"/>
      <c r="BG39" s="291"/>
      <c r="BH39" s="291"/>
      <c r="BI39" s="291"/>
      <c r="BJ39" s="291"/>
      <c r="BK39" s="291"/>
      <c r="BL39" s="291"/>
      <c r="BM39" s="291"/>
      <c r="BN39" s="291"/>
      <c r="BO39" s="291"/>
      <c r="BP39" s="291"/>
      <c r="BQ39" s="291"/>
      <c r="BR39" s="291"/>
      <c r="BS39" s="291"/>
      <c r="BT39" s="291"/>
      <c r="BU39" s="291"/>
      <c r="BV39" s="291"/>
      <c r="BW39" s="291"/>
      <c r="BX39" s="291"/>
      <c r="BY39" s="291"/>
      <c r="BZ39" s="291"/>
      <c r="CA39" s="291"/>
    </row>
    <row r="40" spans="1:79" ht="16" x14ac:dyDescent="0.2">
      <c r="A40" s="290" t="s">
        <v>192</v>
      </c>
      <c r="B40" s="292">
        <v>44410</v>
      </c>
      <c r="C40" s="290">
        <v>252</v>
      </c>
      <c r="D40" s="290">
        <v>2</v>
      </c>
      <c r="E40" s="290">
        <v>38</v>
      </c>
      <c r="F40" s="290">
        <v>3</v>
      </c>
      <c r="G40" s="290">
        <v>125</v>
      </c>
      <c r="H40" s="290" t="s">
        <v>86</v>
      </c>
      <c r="I40" s="290">
        <v>3</v>
      </c>
      <c r="J40" s="298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291"/>
      <c r="BI40" s="291"/>
      <c r="BJ40" s="291"/>
      <c r="BK40" s="291"/>
      <c r="BL40" s="291"/>
      <c r="BM40" s="291"/>
      <c r="BN40" s="291"/>
      <c r="BO40" s="291"/>
      <c r="BP40" s="291"/>
      <c r="BQ40" s="291"/>
      <c r="BR40" s="291"/>
      <c r="BS40" s="291"/>
      <c r="BT40" s="291"/>
      <c r="BU40" s="291"/>
      <c r="BV40" s="291"/>
      <c r="BW40" s="291"/>
      <c r="BX40" s="291"/>
      <c r="BY40" s="291"/>
      <c r="BZ40" s="291"/>
      <c r="CA40" s="291"/>
    </row>
    <row r="41" spans="1:79" ht="16" x14ac:dyDescent="0.2">
      <c r="A41" s="302" t="s">
        <v>192</v>
      </c>
      <c r="B41" s="303">
        <v>44410</v>
      </c>
      <c r="C41" s="302">
        <v>252</v>
      </c>
      <c r="D41" s="302">
        <v>2</v>
      </c>
      <c r="E41" s="302">
        <v>38</v>
      </c>
      <c r="F41" s="302">
        <v>4</v>
      </c>
      <c r="G41" s="302">
        <v>100</v>
      </c>
      <c r="H41" s="302" t="s">
        <v>86</v>
      </c>
      <c r="I41" s="302">
        <v>4</v>
      </c>
      <c r="J41" s="298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1"/>
      <c r="AZ41" s="291"/>
      <c r="BA41" s="291"/>
      <c r="BB41" s="291"/>
      <c r="BC41" s="291"/>
      <c r="BD41" s="291"/>
      <c r="BE41" s="291"/>
      <c r="BF41" s="291"/>
      <c r="BG41" s="291"/>
      <c r="BH41" s="291"/>
      <c r="BI41" s="291"/>
      <c r="BJ41" s="291"/>
      <c r="BK41" s="291"/>
      <c r="BL41" s="291"/>
      <c r="BM41" s="291"/>
      <c r="BN41" s="291"/>
      <c r="BO41" s="291"/>
      <c r="BP41" s="291"/>
      <c r="BQ41" s="291"/>
      <c r="BR41" s="291"/>
      <c r="BS41" s="291"/>
      <c r="BT41" s="291"/>
      <c r="BU41" s="291"/>
      <c r="BV41" s="291"/>
      <c r="BW41" s="291"/>
      <c r="BX41" s="291"/>
      <c r="BY41" s="291"/>
      <c r="BZ41" s="291"/>
      <c r="CA41" s="291"/>
    </row>
    <row r="42" spans="1:79" ht="16" x14ac:dyDescent="0.2">
      <c r="A42" s="290" t="s">
        <v>192</v>
      </c>
      <c r="B42" s="292">
        <v>44410</v>
      </c>
      <c r="C42" s="290">
        <v>252</v>
      </c>
      <c r="D42" s="290">
        <v>2</v>
      </c>
      <c r="E42" s="290">
        <v>38</v>
      </c>
      <c r="F42" s="290">
        <v>5</v>
      </c>
      <c r="G42" s="290">
        <v>100</v>
      </c>
      <c r="H42" s="290" t="s">
        <v>86</v>
      </c>
      <c r="I42" s="290">
        <v>5</v>
      </c>
      <c r="J42" s="298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291"/>
      <c r="AX42" s="291"/>
      <c r="AY42" s="291"/>
      <c r="AZ42" s="291"/>
      <c r="BA42" s="291"/>
      <c r="BB42" s="291"/>
      <c r="BC42" s="291"/>
      <c r="BD42" s="291"/>
      <c r="BE42" s="291"/>
      <c r="BF42" s="291"/>
      <c r="BG42" s="291"/>
      <c r="BH42" s="291"/>
      <c r="BI42" s="291"/>
      <c r="BJ42" s="291"/>
      <c r="BK42" s="291"/>
      <c r="BL42" s="291"/>
      <c r="BM42" s="291"/>
      <c r="BN42" s="291"/>
      <c r="BO42" s="291"/>
      <c r="BP42" s="291"/>
      <c r="BQ42" s="291"/>
      <c r="BR42" s="291"/>
      <c r="BS42" s="291"/>
      <c r="BT42" s="291"/>
      <c r="BU42" s="291"/>
      <c r="BV42" s="291"/>
      <c r="BW42" s="291"/>
      <c r="BX42" s="291"/>
      <c r="BY42" s="291"/>
      <c r="BZ42" s="291"/>
      <c r="CA42" s="291"/>
    </row>
    <row r="43" spans="1:79" ht="16" x14ac:dyDescent="0.2">
      <c r="A43" s="290" t="s">
        <v>192</v>
      </c>
      <c r="B43" s="292">
        <v>44410</v>
      </c>
      <c r="C43" s="290">
        <v>252</v>
      </c>
      <c r="D43" s="290">
        <v>2</v>
      </c>
      <c r="E43" s="290">
        <v>38</v>
      </c>
      <c r="F43" s="290">
        <v>6</v>
      </c>
      <c r="G43" s="290">
        <v>100</v>
      </c>
      <c r="H43" s="290" t="s">
        <v>86</v>
      </c>
      <c r="I43" s="290">
        <v>6</v>
      </c>
      <c r="J43" s="298"/>
      <c r="K43" s="291"/>
      <c r="L43" s="291"/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291"/>
      <c r="AX43" s="291"/>
      <c r="AY43" s="291"/>
      <c r="AZ43" s="291"/>
      <c r="BA43" s="291"/>
      <c r="BB43" s="291"/>
      <c r="BC43" s="291"/>
      <c r="BD43" s="291"/>
      <c r="BE43" s="291"/>
      <c r="BF43" s="291"/>
      <c r="BG43" s="291"/>
      <c r="BH43" s="291"/>
      <c r="BI43" s="291"/>
      <c r="BJ43" s="291"/>
      <c r="BK43" s="291"/>
      <c r="BL43" s="291"/>
      <c r="BM43" s="291"/>
      <c r="BN43" s="291"/>
      <c r="BO43" s="291"/>
      <c r="BP43" s="291"/>
      <c r="BQ43" s="291"/>
      <c r="BR43" s="291"/>
      <c r="BS43" s="291"/>
      <c r="BT43" s="291"/>
      <c r="BU43" s="291"/>
      <c r="BV43" s="291"/>
      <c r="BW43" s="291"/>
      <c r="BX43" s="291"/>
      <c r="BY43" s="291"/>
      <c r="BZ43" s="291"/>
      <c r="CA43" s="291"/>
    </row>
    <row r="44" spans="1:79" ht="16" x14ac:dyDescent="0.2">
      <c r="A44" s="302" t="s">
        <v>192</v>
      </c>
      <c r="B44" s="303">
        <v>44410</v>
      </c>
      <c r="C44" s="302">
        <v>252</v>
      </c>
      <c r="D44" s="302">
        <v>2</v>
      </c>
      <c r="E44" s="302">
        <v>38</v>
      </c>
      <c r="F44" s="302">
        <v>7</v>
      </c>
      <c r="G44" s="302">
        <v>75</v>
      </c>
      <c r="H44" s="302" t="s">
        <v>86</v>
      </c>
      <c r="I44" s="302">
        <v>7</v>
      </c>
      <c r="J44" s="298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</row>
    <row r="45" spans="1:79" ht="16" x14ac:dyDescent="0.2">
      <c r="A45" s="290" t="s">
        <v>192</v>
      </c>
      <c r="B45" s="292">
        <v>44410</v>
      </c>
      <c r="C45" s="290">
        <v>252</v>
      </c>
      <c r="D45" s="290">
        <v>2</v>
      </c>
      <c r="E45" s="290">
        <v>38</v>
      </c>
      <c r="F45" s="290">
        <v>8</v>
      </c>
      <c r="G45" s="290">
        <v>75</v>
      </c>
      <c r="H45" s="290" t="s">
        <v>86</v>
      </c>
      <c r="I45" s="290">
        <v>8</v>
      </c>
      <c r="J45" s="298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  <c r="BD45" s="291"/>
      <c r="BE45" s="291"/>
      <c r="BF45" s="291"/>
      <c r="BG45" s="291"/>
      <c r="BH45" s="291"/>
      <c r="BI45" s="291"/>
      <c r="BJ45" s="291"/>
      <c r="BK45" s="291"/>
      <c r="BL45" s="291"/>
      <c r="BM45" s="291"/>
      <c r="BN45" s="291"/>
      <c r="BO45" s="291"/>
      <c r="BP45" s="291"/>
      <c r="BQ45" s="291"/>
      <c r="BR45" s="291"/>
      <c r="BS45" s="291"/>
      <c r="BT45" s="291"/>
      <c r="BU45" s="291"/>
      <c r="BV45" s="291"/>
      <c r="BW45" s="291"/>
      <c r="BX45" s="291"/>
      <c r="BY45" s="291"/>
      <c r="BZ45" s="291"/>
      <c r="CA45" s="291"/>
    </row>
    <row r="46" spans="1:79" ht="16" x14ac:dyDescent="0.2">
      <c r="A46" s="290" t="s">
        <v>192</v>
      </c>
      <c r="B46" s="292">
        <v>44410</v>
      </c>
      <c r="C46" s="290">
        <v>252</v>
      </c>
      <c r="D46" s="290">
        <v>2</v>
      </c>
      <c r="E46" s="290">
        <v>38</v>
      </c>
      <c r="F46" s="290">
        <v>9</v>
      </c>
      <c r="G46" s="290">
        <v>75</v>
      </c>
      <c r="H46" s="290" t="s">
        <v>86</v>
      </c>
      <c r="I46" s="290">
        <v>9</v>
      </c>
      <c r="J46" s="298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1"/>
      <c r="AX46" s="291"/>
      <c r="AY46" s="291"/>
      <c r="AZ46" s="291"/>
      <c r="BA46" s="291"/>
      <c r="BB46" s="291"/>
      <c r="BC46" s="291"/>
      <c r="BD46" s="291"/>
      <c r="BE46" s="291"/>
      <c r="BF46" s="291"/>
      <c r="BG46" s="291"/>
      <c r="BH46" s="291"/>
      <c r="BI46" s="291"/>
      <c r="BJ46" s="291"/>
      <c r="BK46" s="291"/>
      <c r="BL46" s="291"/>
      <c r="BM46" s="291"/>
      <c r="BN46" s="291"/>
      <c r="BO46" s="291"/>
      <c r="BP46" s="291"/>
      <c r="BQ46" s="291"/>
      <c r="BR46" s="291"/>
      <c r="BS46" s="291"/>
      <c r="BT46" s="291"/>
      <c r="BU46" s="291"/>
      <c r="BV46" s="291"/>
      <c r="BW46" s="291"/>
      <c r="BX46" s="291"/>
      <c r="BY46" s="291"/>
      <c r="BZ46" s="291"/>
      <c r="CA46" s="291"/>
    </row>
    <row r="47" spans="1:79" ht="16" x14ac:dyDescent="0.2">
      <c r="A47" s="290" t="s">
        <v>192</v>
      </c>
      <c r="B47" s="292">
        <v>44410</v>
      </c>
      <c r="C47" s="290">
        <v>252</v>
      </c>
      <c r="D47" s="290">
        <v>2</v>
      </c>
      <c r="E47" s="290">
        <v>38</v>
      </c>
      <c r="F47" s="290">
        <v>11</v>
      </c>
      <c r="G47" s="290">
        <v>45</v>
      </c>
      <c r="H47" s="290" t="s">
        <v>86</v>
      </c>
      <c r="I47" s="290">
        <v>10</v>
      </c>
      <c r="J47" s="298" t="s">
        <v>196</v>
      </c>
      <c r="K47" s="291"/>
      <c r="L47" s="291"/>
      <c r="M47" s="291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291"/>
      <c r="AX47" s="291"/>
      <c r="AY47" s="291"/>
      <c r="AZ47" s="291"/>
      <c r="BA47" s="291"/>
      <c r="BB47" s="291"/>
      <c r="BC47" s="291"/>
      <c r="BD47" s="291"/>
      <c r="BE47" s="291"/>
      <c r="BF47" s="291"/>
      <c r="BG47" s="291"/>
      <c r="BH47" s="291"/>
      <c r="BI47" s="291"/>
      <c r="BJ47" s="291"/>
      <c r="BK47" s="291"/>
      <c r="BL47" s="291"/>
      <c r="BM47" s="291"/>
      <c r="BN47" s="291"/>
      <c r="BO47" s="291"/>
      <c r="BP47" s="291"/>
      <c r="BQ47" s="291"/>
      <c r="BR47" s="291"/>
      <c r="BS47" s="291"/>
      <c r="BT47" s="291"/>
      <c r="BU47" s="291"/>
      <c r="BV47" s="291"/>
      <c r="BW47" s="291"/>
      <c r="BX47" s="291"/>
      <c r="BY47" s="291"/>
      <c r="BZ47" s="291"/>
      <c r="CA47" s="291"/>
    </row>
    <row r="48" spans="1:79" ht="16" x14ac:dyDescent="0.2">
      <c r="A48" s="302" t="s">
        <v>192</v>
      </c>
      <c r="B48" s="303">
        <v>44410</v>
      </c>
      <c r="C48" s="302">
        <v>252</v>
      </c>
      <c r="D48" s="302">
        <v>2</v>
      </c>
      <c r="E48" s="302">
        <v>38</v>
      </c>
      <c r="F48" s="302">
        <v>12</v>
      </c>
      <c r="G48" s="302">
        <v>45</v>
      </c>
      <c r="H48" s="302" t="s">
        <v>86</v>
      </c>
      <c r="I48" s="302">
        <v>11</v>
      </c>
      <c r="J48" s="298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291"/>
      <c r="AX48" s="291"/>
      <c r="AY48" s="291"/>
      <c r="AZ48" s="291"/>
      <c r="BA48" s="291"/>
      <c r="BB48" s="291"/>
      <c r="BC48" s="291"/>
      <c r="BD48" s="291"/>
      <c r="BE48" s="291"/>
      <c r="BF48" s="291"/>
      <c r="BG48" s="291"/>
      <c r="BH48" s="291"/>
      <c r="BI48" s="291"/>
      <c r="BJ48" s="291"/>
      <c r="BK48" s="291"/>
      <c r="BL48" s="291"/>
      <c r="BM48" s="291"/>
      <c r="BN48" s="291"/>
      <c r="BO48" s="291"/>
      <c r="BP48" s="291"/>
      <c r="BQ48" s="291"/>
      <c r="BR48" s="291"/>
      <c r="BS48" s="291"/>
      <c r="BT48" s="291"/>
      <c r="BU48" s="291"/>
      <c r="BV48" s="291"/>
      <c r="BW48" s="291"/>
      <c r="BX48" s="291"/>
      <c r="BY48" s="291"/>
      <c r="BZ48" s="291"/>
      <c r="CA48" s="291"/>
    </row>
    <row r="49" spans="1:79" ht="16" x14ac:dyDescent="0.2">
      <c r="A49" s="290" t="s">
        <v>192</v>
      </c>
      <c r="B49" s="292">
        <v>44410</v>
      </c>
      <c r="C49" s="290">
        <v>252</v>
      </c>
      <c r="D49" s="290">
        <v>2</v>
      </c>
      <c r="E49" s="290">
        <v>38</v>
      </c>
      <c r="F49" s="290">
        <v>13</v>
      </c>
      <c r="G49" s="290">
        <v>45</v>
      </c>
      <c r="H49" s="290" t="s">
        <v>86</v>
      </c>
      <c r="I49" s="290">
        <v>12</v>
      </c>
      <c r="J49" s="298"/>
      <c r="K49" s="291"/>
      <c r="L49" s="291"/>
      <c r="M49" s="291"/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91"/>
      <c r="Z49" s="291"/>
      <c r="AA49" s="291"/>
      <c r="AB49" s="291"/>
      <c r="AC49" s="291"/>
      <c r="AD49" s="291"/>
      <c r="AE49" s="291"/>
      <c r="AF49" s="291"/>
      <c r="AG49" s="291"/>
      <c r="AH49" s="291"/>
      <c r="AI49" s="291"/>
      <c r="AJ49" s="291"/>
      <c r="AK49" s="291"/>
      <c r="AL49" s="291"/>
      <c r="AM49" s="291"/>
      <c r="AN49" s="291"/>
      <c r="AO49" s="291"/>
      <c r="AP49" s="291"/>
      <c r="AQ49" s="291"/>
      <c r="AR49" s="291"/>
      <c r="AS49" s="291"/>
      <c r="AT49" s="291"/>
      <c r="AU49" s="291"/>
      <c r="AV49" s="291"/>
      <c r="AW49" s="291"/>
      <c r="AX49" s="291"/>
      <c r="AY49" s="291"/>
      <c r="AZ49" s="291"/>
      <c r="BA49" s="291"/>
      <c r="BB49" s="291"/>
      <c r="BC49" s="291"/>
      <c r="BD49" s="291"/>
      <c r="BE49" s="291"/>
      <c r="BF49" s="291"/>
      <c r="BG49" s="291"/>
      <c r="BH49" s="291"/>
      <c r="BI49" s="291"/>
      <c r="BJ49" s="291"/>
      <c r="BK49" s="291"/>
      <c r="BL49" s="291"/>
      <c r="BM49" s="291"/>
      <c r="BN49" s="291"/>
      <c r="BO49" s="291"/>
      <c r="BP49" s="291"/>
      <c r="BQ49" s="291"/>
      <c r="BR49" s="291"/>
      <c r="BS49" s="291"/>
      <c r="BT49" s="291"/>
      <c r="BU49" s="291"/>
      <c r="BV49" s="291"/>
      <c r="BW49" s="291"/>
      <c r="BX49" s="291"/>
      <c r="BY49" s="291"/>
      <c r="BZ49" s="291"/>
      <c r="CA49" s="291"/>
    </row>
    <row r="50" spans="1:79" ht="16" x14ac:dyDescent="0.2">
      <c r="A50" s="290" t="s">
        <v>192</v>
      </c>
      <c r="B50" s="292">
        <v>44410</v>
      </c>
      <c r="C50" s="290">
        <v>252</v>
      </c>
      <c r="D50" s="290">
        <v>2</v>
      </c>
      <c r="E50" s="290">
        <v>38</v>
      </c>
      <c r="F50" s="290">
        <v>14</v>
      </c>
      <c r="G50" s="290">
        <v>25</v>
      </c>
      <c r="H50" s="290" t="s">
        <v>86</v>
      </c>
      <c r="I50" s="290">
        <v>13</v>
      </c>
      <c r="J50" s="298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291"/>
      <c r="AX50" s="291"/>
      <c r="AY50" s="291"/>
      <c r="AZ50" s="291"/>
      <c r="BA50" s="291"/>
      <c r="BB50" s="291"/>
      <c r="BC50" s="291"/>
      <c r="BD50" s="291"/>
      <c r="BE50" s="291"/>
      <c r="BF50" s="291"/>
      <c r="BG50" s="291"/>
      <c r="BH50" s="291"/>
      <c r="BI50" s="291"/>
      <c r="BJ50" s="291"/>
      <c r="BK50" s="291"/>
      <c r="BL50" s="291"/>
      <c r="BM50" s="291"/>
      <c r="BN50" s="291"/>
      <c r="BO50" s="291"/>
      <c r="BP50" s="291"/>
      <c r="BQ50" s="291"/>
      <c r="BR50" s="291"/>
      <c r="BS50" s="291"/>
      <c r="BT50" s="291"/>
      <c r="BU50" s="291"/>
      <c r="BV50" s="291"/>
      <c r="BW50" s="291"/>
      <c r="BX50" s="291"/>
      <c r="BY50" s="291"/>
      <c r="BZ50" s="291"/>
      <c r="CA50" s="291"/>
    </row>
    <row r="51" spans="1:79" ht="16" x14ac:dyDescent="0.2">
      <c r="A51" s="318" t="s">
        <v>192</v>
      </c>
      <c r="B51" s="319">
        <v>44410</v>
      </c>
      <c r="C51" s="318">
        <v>252</v>
      </c>
      <c r="D51" s="318">
        <v>2</v>
      </c>
      <c r="E51" s="318">
        <v>38</v>
      </c>
      <c r="F51" s="318">
        <v>15</v>
      </c>
      <c r="G51" s="318">
        <v>25</v>
      </c>
      <c r="H51" s="318" t="s">
        <v>86</v>
      </c>
      <c r="I51" s="318">
        <v>14</v>
      </c>
      <c r="J51" s="298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291"/>
      <c r="AX51" s="291"/>
      <c r="AY51" s="291"/>
      <c r="AZ51" s="291"/>
      <c r="BA51" s="291"/>
      <c r="BB51" s="291"/>
      <c r="BC51" s="291"/>
      <c r="BD51" s="291"/>
      <c r="BE51" s="291"/>
      <c r="BF51" s="291"/>
      <c r="BG51" s="291"/>
      <c r="BH51" s="291"/>
      <c r="BI51" s="291"/>
      <c r="BJ51" s="291"/>
      <c r="BK51" s="291"/>
      <c r="BL51" s="291"/>
      <c r="BM51" s="291"/>
      <c r="BN51" s="291"/>
      <c r="BO51" s="291"/>
      <c r="BP51" s="291"/>
      <c r="BQ51" s="291"/>
      <c r="BR51" s="291"/>
      <c r="BS51" s="291"/>
      <c r="BT51" s="291"/>
      <c r="BU51" s="291"/>
      <c r="BV51" s="291"/>
      <c r="BW51" s="291"/>
      <c r="BX51" s="291"/>
      <c r="BY51" s="291"/>
      <c r="BZ51" s="291"/>
      <c r="CA51" s="291"/>
    </row>
    <row r="52" spans="1:79" ht="16" x14ac:dyDescent="0.2">
      <c r="A52" s="290" t="s">
        <v>192</v>
      </c>
      <c r="B52" s="292">
        <v>44410</v>
      </c>
      <c r="C52" s="290">
        <v>252</v>
      </c>
      <c r="D52" s="290">
        <v>2</v>
      </c>
      <c r="E52" s="290">
        <v>38</v>
      </c>
      <c r="F52" s="290">
        <v>16</v>
      </c>
      <c r="G52" s="290">
        <v>25</v>
      </c>
      <c r="H52" s="290" t="s">
        <v>86</v>
      </c>
      <c r="I52" s="290">
        <v>15</v>
      </c>
      <c r="J52" s="298"/>
      <c r="K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291"/>
      <c r="AX52" s="291"/>
      <c r="AY52" s="291"/>
      <c r="AZ52" s="291"/>
      <c r="BA52" s="291"/>
      <c r="BB52" s="291"/>
      <c r="BC52" s="291"/>
      <c r="BD52" s="291"/>
      <c r="BE52" s="291"/>
      <c r="BF52" s="291"/>
      <c r="BG52" s="291"/>
      <c r="BH52" s="291"/>
      <c r="BI52" s="291"/>
      <c r="BJ52" s="291"/>
      <c r="BK52" s="291"/>
      <c r="BL52" s="291"/>
      <c r="BM52" s="291"/>
      <c r="BN52" s="291"/>
      <c r="BO52" s="291"/>
      <c r="BP52" s="291"/>
      <c r="BQ52" s="291"/>
      <c r="BR52" s="291"/>
      <c r="BS52" s="291"/>
      <c r="BT52" s="291"/>
      <c r="BU52" s="291"/>
      <c r="BV52" s="291"/>
      <c r="BW52" s="291"/>
      <c r="BX52" s="291"/>
      <c r="BY52" s="291"/>
      <c r="BZ52" s="291"/>
      <c r="CA52" s="291"/>
    </row>
    <row r="53" spans="1:79" ht="16" x14ac:dyDescent="0.2">
      <c r="A53" s="290" t="s">
        <v>192</v>
      </c>
      <c r="B53" s="292">
        <v>44410</v>
      </c>
      <c r="C53" s="290">
        <v>252</v>
      </c>
      <c r="D53" s="290">
        <v>2</v>
      </c>
      <c r="E53" s="290">
        <v>38</v>
      </c>
      <c r="F53" s="290">
        <v>17</v>
      </c>
      <c r="G53" s="290">
        <v>5</v>
      </c>
      <c r="H53" s="290" t="s">
        <v>86</v>
      </c>
      <c r="I53" s="290">
        <v>16</v>
      </c>
      <c r="J53" s="298"/>
      <c r="K53" s="291"/>
      <c r="L53" s="291"/>
      <c r="M53" s="291"/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291"/>
      <c r="AW53" s="291"/>
      <c r="AX53" s="291"/>
      <c r="AY53" s="291"/>
      <c r="AZ53" s="291"/>
      <c r="BA53" s="291"/>
      <c r="BB53" s="291"/>
      <c r="BC53" s="291"/>
      <c r="BD53" s="291"/>
      <c r="BE53" s="291"/>
      <c r="BF53" s="291"/>
      <c r="BG53" s="291"/>
      <c r="BH53" s="291"/>
      <c r="BI53" s="291"/>
      <c r="BJ53" s="291"/>
      <c r="BK53" s="291"/>
      <c r="BL53" s="291"/>
      <c r="BM53" s="291"/>
      <c r="BN53" s="291"/>
      <c r="BO53" s="291"/>
      <c r="BP53" s="291"/>
      <c r="BQ53" s="291"/>
      <c r="BR53" s="291"/>
      <c r="BS53" s="291"/>
      <c r="BT53" s="291"/>
      <c r="BU53" s="291"/>
      <c r="BV53" s="291"/>
      <c r="BW53" s="291"/>
      <c r="BX53" s="291"/>
      <c r="BY53" s="291"/>
      <c r="BZ53" s="291"/>
      <c r="CA53" s="291"/>
    </row>
    <row r="54" spans="1:79" ht="16" x14ac:dyDescent="0.2">
      <c r="A54" s="318" t="s">
        <v>192</v>
      </c>
      <c r="B54" s="319">
        <v>44410</v>
      </c>
      <c r="C54" s="318">
        <v>252</v>
      </c>
      <c r="D54" s="318">
        <v>2</v>
      </c>
      <c r="E54" s="318">
        <v>38</v>
      </c>
      <c r="F54" s="318">
        <v>18</v>
      </c>
      <c r="G54" s="318">
        <v>5</v>
      </c>
      <c r="H54" s="318" t="s">
        <v>86</v>
      </c>
      <c r="I54" s="318">
        <v>17</v>
      </c>
      <c r="J54" s="298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291"/>
      <c r="AJ54" s="291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291"/>
      <c r="AX54" s="291"/>
      <c r="AY54" s="291"/>
      <c r="AZ54" s="291"/>
      <c r="BA54" s="291"/>
      <c r="BB54" s="291"/>
      <c r="BC54" s="291"/>
      <c r="BD54" s="291"/>
      <c r="BE54" s="291"/>
      <c r="BF54" s="291"/>
      <c r="BG54" s="291"/>
      <c r="BH54" s="291"/>
      <c r="BI54" s="291"/>
      <c r="BJ54" s="291"/>
      <c r="BK54" s="291"/>
      <c r="BL54" s="291"/>
      <c r="BM54" s="291"/>
      <c r="BN54" s="291"/>
      <c r="BO54" s="291"/>
      <c r="BP54" s="291"/>
      <c r="BQ54" s="291"/>
      <c r="BR54" s="291"/>
      <c r="BS54" s="291"/>
      <c r="BT54" s="291"/>
      <c r="BU54" s="291"/>
      <c r="BV54" s="291"/>
      <c r="BW54" s="291"/>
      <c r="BX54" s="291"/>
      <c r="BY54" s="291"/>
      <c r="BZ54" s="291"/>
      <c r="CA54" s="291"/>
    </row>
    <row r="55" spans="1:79" ht="16" x14ac:dyDescent="0.2">
      <c r="A55" s="290" t="s">
        <v>192</v>
      </c>
      <c r="B55" s="292">
        <v>44410</v>
      </c>
      <c r="C55" s="290">
        <v>252</v>
      </c>
      <c r="D55" s="290">
        <v>2</v>
      </c>
      <c r="E55" s="290">
        <v>38</v>
      </c>
      <c r="F55" s="290">
        <v>19</v>
      </c>
      <c r="G55" s="290">
        <v>5</v>
      </c>
      <c r="H55" s="290" t="s">
        <v>86</v>
      </c>
      <c r="I55" s="290">
        <v>18</v>
      </c>
      <c r="J55" s="298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1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1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291"/>
      <c r="AX55" s="291"/>
      <c r="AY55" s="291"/>
      <c r="AZ55" s="291"/>
      <c r="BA55" s="291"/>
      <c r="BB55" s="291"/>
      <c r="BC55" s="291"/>
      <c r="BD55" s="291"/>
      <c r="BE55" s="291"/>
      <c r="BF55" s="291"/>
      <c r="BG55" s="291"/>
      <c r="BH55" s="291"/>
      <c r="BI55" s="291"/>
      <c r="BJ55" s="291"/>
      <c r="BK55" s="291"/>
      <c r="BL55" s="291"/>
      <c r="BM55" s="291"/>
      <c r="BN55" s="291"/>
      <c r="BO55" s="291"/>
      <c r="BP55" s="291"/>
      <c r="BQ55" s="291"/>
      <c r="BR55" s="291"/>
      <c r="BS55" s="291"/>
      <c r="BT55" s="291"/>
      <c r="BU55" s="291"/>
      <c r="BV55" s="291"/>
      <c r="BW55" s="291"/>
      <c r="BX55" s="291"/>
      <c r="BY55" s="291"/>
      <c r="BZ55" s="291"/>
      <c r="CA55" s="291"/>
    </row>
    <row r="56" spans="1:79" ht="16" x14ac:dyDescent="0.2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291"/>
      <c r="AJ56" s="291"/>
      <c r="AK56" s="291"/>
      <c r="AL56" s="291"/>
      <c r="AM56" s="291"/>
      <c r="AN56" s="291"/>
      <c r="AO56" s="291"/>
      <c r="AP56" s="291"/>
      <c r="AQ56" s="291"/>
      <c r="AR56" s="291"/>
      <c r="AS56" s="291"/>
      <c r="AT56" s="291"/>
      <c r="AU56" s="291"/>
      <c r="AV56" s="291"/>
      <c r="AW56" s="291"/>
      <c r="AX56" s="291"/>
      <c r="AY56" s="291"/>
      <c r="AZ56" s="291"/>
      <c r="BA56" s="291"/>
      <c r="BB56" s="291"/>
      <c r="BC56" s="291"/>
      <c r="BD56" s="291"/>
      <c r="BE56" s="291"/>
      <c r="BF56" s="291"/>
      <c r="BG56" s="291"/>
      <c r="BH56" s="291"/>
      <c r="BI56" s="291"/>
      <c r="BJ56" s="291"/>
      <c r="BK56" s="291"/>
      <c r="BL56" s="291"/>
      <c r="BM56" s="291"/>
      <c r="BN56" s="291"/>
      <c r="BO56" s="291"/>
      <c r="BP56" s="291"/>
      <c r="BQ56" s="291"/>
      <c r="BR56" s="291"/>
      <c r="BS56" s="291"/>
      <c r="BT56" s="291"/>
      <c r="BU56" s="291"/>
      <c r="BV56" s="291"/>
      <c r="BW56" s="291"/>
      <c r="BX56" s="291"/>
      <c r="BY56" s="291"/>
      <c r="BZ56" s="291"/>
      <c r="CA56" s="291"/>
    </row>
    <row r="57" spans="1:79" ht="16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  <c r="AM57" s="291"/>
      <c r="AN57" s="291"/>
      <c r="AO57" s="291"/>
      <c r="AP57" s="291"/>
      <c r="AQ57" s="291"/>
      <c r="AR57" s="291"/>
      <c r="AS57" s="291"/>
      <c r="AT57" s="291"/>
      <c r="AU57" s="291"/>
      <c r="AV57" s="291"/>
      <c r="AW57" s="291"/>
      <c r="AX57" s="291"/>
      <c r="AY57" s="291"/>
      <c r="AZ57" s="291"/>
      <c r="BA57" s="291"/>
      <c r="BB57" s="291"/>
      <c r="BC57" s="291"/>
      <c r="BD57" s="291"/>
      <c r="BE57" s="291"/>
      <c r="BF57" s="291"/>
      <c r="BG57" s="291"/>
      <c r="BH57" s="291"/>
      <c r="BI57" s="291"/>
      <c r="BJ57" s="291"/>
      <c r="BK57" s="291"/>
      <c r="BL57" s="291"/>
      <c r="BM57" s="291"/>
      <c r="BN57" s="291"/>
      <c r="BO57" s="291"/>
      <c r="BP57" s="291"/>
      <c r="BQ57" s="291"/>
      <c r="BR57" s="291"/>
      <c r="BS57" s="291"/>
      <c r="BT57" s="291"/>
      <c r="BU57" s="291"/>
      <c r="BV57" s="291"/>
      <c r="BW57" s="291"/>
      <c r="BX57" s="291"/>
      <c r="BY57" s="291"/>
      <c r="BZ57" s="291"/>
      <c r="CA57" s="291"/>
    </row>
    <row r="58" spans="1:79" ht="16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  <c r="AA58" s="291"/>
      <c r="AB58" s="291"/>
      <c r="AC58" s="291"/>
      <c r="AD58" s="291"/>
      <c r="AE58" s="291"/>
      <c r="AF58" s="291"/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291"/>
      <c r="AX58" s="291"/>
      <c r="AY58" s="291"/>
      <c r="AZ58" s="291"/>
      <c r="BA58" s="291"/>
      <c r="BB58" s="291"/>
      <c r="BC58" s="291"/>
      <c r="BD58" s="291"/>
      <c r="BE58" s="291"/>
      <c r="BF58" s="291"/>
      <c r="BG58" s="291"/>
      <c r="BH58" s="291"/>
      <c r="BI58" s="291"/>
      <c r="BJ58" s="291"/>
      <c r="BK58" s="291"/>
      <c r="BL58" s="291"/>
      <c r="BM58" s="291"/>
      <c r="BN58" s="291"/>
      <c r="BO58" s="291"/>
      <c r="BP58" s="291"/>
      <c r="BQ58" s="291"/>
      <c r="BR58" s="291"/>
      <c r="BS58" s="291"/>
      <c r="BT58" s="291"/>
      <c r="BU58" s="291"/>
      <c r="BV58" s="291"/>
      <c r="BW58" s="291"/>
      <c r="BX58" s="291"/>
      <c r="BY58" s="291"/>
      <c r="BZ58" s="291"/>
      <c r="CA58" s="291"/>
    </row>
    <row r="59" spans="1:79" ht="16" x14ac:dyDescent="0.2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291"/>
      <c r="N59" s="291"/>
      <c r="O59" s="291"/>
      <c r="P59" s="291"/>
      <c r="Q59" s="291"/>
      <c r="R59" s="291"/>
      <c r="S59" s="291"/>
      <c r="T59" s="291"/>
      <c r="U59" s="291"/>
      <c r="V59" s="291"/>
      <c r="W59" s="291"/>
      <c r="X59" s="291"/>
      <c r="Y59" s="291"/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291"/>
      <c r="AW59" s="291"/>
      <c r="AX59" s="291"/>
      <c r="AY59" s="291"/>
      <c r="AZ59" s="291"/>
      <c r="BA59" s="291"/>
      <c r="BB59" s="291"/>
      <c r="BC59" s="291"/>
      <c r="BD59" s="291"/>
      <c r="BE59" s="291"/>
      <c r="BF59" s="291"/>
      <c r="BG59" s="291"/>
      <c r="BH59" s="291"/>
      <c r="BI59" s="291"/>
      <c r="BJ59" s="291"/>
      <c r="BK59" s="291"/>
      <c r="BL59" s="291"/>
      <c r="BM59" s="291"/>
      <c r="BN59" s="291"/>
      <c r="BO59" s="291"/>
      <c r="BP59" s="291"/>
      <c r="BQ59" s="291"/>
      <c r="BR59" s="291"/>
      <c r="BS59" s="291"/>
      <c r="BT59" s="291"/>
      <c r="BU59" s="291"/>
      <c r="BV59" s="291"/>
      <c r="BW59" s="291"/>
      <c r="BX59" s="291"/>
      <c r="BY59" s="291"/>
      <c r="BZ59" s="291"/>
      <c r="CA59" s="291"/>
    </row>
    <row r="60" spans="1:79" ht="16" x14ac:dyDescent="0.2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/>
      <c r="Z60" s="291"/>
      <c r="AA60" s="291"/>
      <c r="AB60" s="291"/>
      <c r="AC60" s="291"/>
      <c r="AD60" s="291"/>
      <c r="AE60" s="291"/>
      <c r="AF60" s="291"/>
      <c r="AG60" s="291"/>
      <c r="AH60" s="291"/>
      <c r="AI60" s="291"/>
      <c r="AJ60" s="291"/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291"/>
      <c r="AX60" s="291"/>
      <c r="AY60" s="291"/>
      <c r="AZ60" s="291"/>
      <c r="BA60" s="291"/>
      <c r="BB60" s="291"/>
      <c r="BC60" s="291"/>
      <c r="BD60" s="291"/>
      <c r="BE60" s="291"/>
      <c r="BF60" s="291"/>
      <c r="BG60" s="291"/>
      <c r="BH60" s="291"/>
      <c r="BI60" s="291"/>
      <c r="BJ60" s="291"/>
      <c r="BK60" s="291"/>
      <c r="BL60" s="291"/>
      <c r="BM60" s="291"/>
      <c r="BN60" s="291"/>
      <c r="BO60" s="291"/>
      <c r="BP60" s="291"/>
      <c r="BQ60" s="291"/>
      <c r="BR60" s="291"/>
      <c r="BS60" s="291"/>
      <c r="BT60" s="291"/>
      <c r="BU60" s="291"/>
      <c r="BV60" s="291"/>
      <c r="BW60" s="291"/>
      <c r="BX60" s="291"/>
      <c r="BY60" s="291"/>
      <c r="BZ60" s="291"/>
      <c r="CA60" s="291"/>
    </row>
    <row r="61" spans="1:79" ht="16" x14ac:dyDescent="0.2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  <c r="AM61" s="291"/>
      <c r="AN61" s="291"/>
      <c r="AO61" s="291"/>
      <c r="AP61" s="291"/>
      <c r="AQ61" s="291"/>
      <c r="AR61" s="291"/>
      <c r="AS61" s="291"/>
      <c r="AT61" s="291"/>
      <c r="AU61" s="291"/>
      <c r="AV61" s="291"/>
      <c r="AW61" s="291"/>
      <c r="AX61" s="291"/>
      <c r="AY61" s="291"/>
      <c r="AZ61" s="291"/>
      <c r="BA61" s="291"/>
      <c r="BB61" s="291"/>
      <c r="BC61" s="291"/>
      <c r="BD61" s="291"/>
      <c r="BE61" s="291"/>
      <c r="BF61" s="291"/>
      <c r="BG61" s="291"/>
      <c r="BH61" s="291"/>
      <c r="BI61" s="291"/>
      <c r="BJ61" s="291"/>
      <c r="BK61" s="291"/>
      <c r="BL61" s="291"/>
      <c r="BM61" s="291"/>
      <c r="BN61" s="291"/>
      <c r="BO61" s="291"/>
      <c r="BP61" s="291"/>
      <c r="BQ61" s="291"/>
      <c r="BR61" s="291"/>
      <c r="BS61" s="291"/>
      <c r="BT61" s="291"/>
      <c r="BU61" s="291"/>
      <c r="BV61" s="291"/>
      <c r="BW61" s="291"/>
      <c r="BX61" s="291"/>
      <c r="BY61" s="291"/>
      <c r="BZ61" s="291"/>
      <c r="CA61" s="291"/>
    </row>
    <row r="62" spans="1:79" ht="16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291"/>
      <c r="AX62" s="291"/>
      <c r="AY62" s="291"/>
      <c r="AZ62" s="291"/>
      <c r="BA62" s="291"/>
      <c r="BB62" s="291"/>
      <c r="BC62" s="291"/>
      <c r="BD62" s="291"/>
      <c r="BE62" s="291"/>
      <c r="BF62" s="291"/>
      <c r="BG62" s="291"/>
      <c r="BH62" s="291"/>
      <c r="BI62" s="291"/>
      <c r="BJ62" s="291"/>
      <c r="BK62" s="291"/>
      <c r="BL62" s="291"/>
      <c r="BM62" s="291"/>
      <c r="BN62" s="291"/>
      <c r="BO62" s="291"/>
      <c r="BP62" s="291"/>
      <c r="BQ62" s="291"/>
      <c r="BR62" s="291"/>
      <c r="BS62" s="291"/>
      <c r="BT62" s="291"/>
      <c r="BU62" s="291"/>
      <c r="BV62" s="291"/>
      <c r="BW62" s="291"/>
      <c r="BX62" s="291"/>
      <c r="BY62" s="291"/>
      <c r="BZ62" s="291"/>
      <c r="CA62" s="291"/>
    </row>
    <row r="63" spans="1:79" ht="16" x14ac:dyDescent="0.2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  <c r="AM63" s="291"/>
      <c r="AN63" s="291"/>
      <c r="AO63" s="291"/>
      <c r="AP63" s="291"/>
      <c r="AQ63" s="291"/>
      <c r="AR63" s="291"/>
      <c r="AS63" s="291"/>
      <c r="AT63" s="291"/>
      <c r="AU63" s="291"/>
      <c r="AV63" s="291"/>
      <c r="AW63" s="291"/>
      <c r="AX63" s="291"/>
      <c r="AY63" s="291"/>
      <c r="AZ63" s="291"/>
      <c r="BA63" s="291"/>
      <c r="BB63" s="291"/>
      <c r="BC63" s="291"/>
      <c r="BD63" s="291"/>
      <c r="BE63" s="291"/>
      <c r="BF63" s="291"/>
      <c r="BG63" s="291"/>
      <c r="BH63" s="291"/>
      <c r="BI63" s="291"/>
      <c r="BJ63" s="291"/>
      <c r="BK63" s="291"/>
      <c r="BL63" s="291"/>
      <c r="BM63" s="291"/>
      <c r="BN63" s="291"/>
      <c r="BO63" s="291"/>
      <c r="BP63" s="291"/>
      <c r="BQ63" s="291"/>
      <c r="BR63" s="291"/>
      <c r="BS63" s="291"/>
      <c r="BT63" s="291"/>
      <c r="BU63" s="291"/>
      <c r="BV63" s="291"/>
      <c r="BW63" s="291"/>
      <c r="BX63" s="291"/>
      <c r="BY63" s="291"/>
      <c r="BZ63" s="291"/>
      <c r="CA63" s="291"/>
    </row>
    <row r="64" spans="1:79" ht="16" x14ac:dyDescent="0.2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1"/>
      <c r="AV64" s="291"/>
      <c r="AW64" s="291"/>
      <c r="AX64" s="291"/>
      <c r="AY64" s="291"/>
      <c r="AZ64" s="291"/>
      <c r="BA64" s="291"/>
      <c r="BB64" s="291"/>
      <c r="BC64" s="291"/>
      <c r="BD64" s="291"/>
      <c r="BE64" s="291"/>
      <c r="BF64" s="291"/>
      <c r="BG64" s="291"/>
      <c r="BH64" s="291"/>
      <c r="BI64" s="291"/>
      <c r="BJ64" s="291"/>
      <c r="BK64" s="291"/>
      <c r="BL64" s="291"/>
      <c r="BM64" s="291"/>
      <c r="BN64" s="291"/>
      <c r="BO64" s="291"/>
      <c r="BP64" s="291"/>
      <c r="BQ64" s="291"/>
      <c r="BR64" s="291"/>
      <c r="BS64" s="291"/>
      <c r="BT64" s="291"/>
      <c r="BU64" s="291"/>
      <c r="BV64" s="291"/>
      <c r="BW64" s="291"/>
      <c r="BX64" s="291"/>
      <c r="BY64" s="291"/>
      <c r="BZ64" s="291"/>
      <c r="CA64" s="291"/>
    </row>
    <row r="65" spans="1:79" ht="16" x14ac:dyDescent="0.2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  <c r="AA65" s="291"/>
      <c r="AB65" s="291"/>
      <c r="AC65" s="291"/>
      <c r="AD65" s="291"/>
      <c r="AE65" s="291"/>
      <c r="AF65" s="291"/>
      <c r="AG65" s="291"/>
      <c r="AH65" s="291"/>
      <c r="AI65" s="291"/>
      <c r="AJ65" s="291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1"/>
      <c r="AV65" s="291"/>
      <c r="AW65" s="291"/>
      <c r="AX65" s="291"/>
      <c r="AY65" s="291"/>
      <c r="AZ65" s="291"/>
      <c r="BA65" s="291"/>
      <c r="BB65" s="291"/>
      <c r="BC65" s="291"/>
      <c r="BD65" s="291"/>
      <c r="BE65" s="291"/>
      <c r="BF65" s="291"/>
      <c r="BG65" s="291"/>
      <c r="BH65" s="291"/>
      <c r="BI65" s="291"/>
      <c r="BJ65" s="291"/>
      <c r="BK65" s="291"/>
      <c r="BL65" s="291"/>
      <c r="BM65" s="291"/>
      <c r="BN65" s="291"/>
      <c r="BO65" s="291"/>
      <c r="BP65" s="291"/>
      <c r="BQ65" s="291"/>
      <c r="BR65" s="291"/>
      <c r="BS65" s="291"/>
      <c r="BT65" s="291"/>
      <c r="BU65" s="291"/>
      <c r="BV65" s="291"/>
      <c r="BW65" s="291"/>
      <c r="BX65" s="291"/>
      <c r="BY65" s="291"/>
      <c r="BZ65" s="291"/>
      <c r="CA65" s="291"/>
    </row>
    <row r="66" spans="1:79" ht="16" x14ac:dyDescent="0.2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91"/>
      <c r="Z66" s="291"/>
      <c r="AA66" s="291"/>
      <c r="AB66" s="291"/>
      <c r="AC66" s="291"/>
      <c r="AD66" s="291"/>
      <c r="AE66" s="291"/>
      <c r="AF66" s="291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1"/>
      <c r="AV66" s="291"/>
      <c r="AW66" s="291"/>
      <c r="AX66" s="291"/>
      <c r="AY66" s="291"/>
      <c r="AZ66" s="291"/>
      <c r="BA66" s="291"/>
      <c r="BB66" s="291"/>
      <c r="BC66" s="291"/>
      <c r="BD66" s="291"/>
      <c r="BE66" s="291"/>
      <c r="BF66" s="291"/>
      <c r="BG66" s="291"/>
      <c r="BH66" s="291"/>
      <c r="BI66" s="291"/>
      <c r="BJ66" s="291"/>
      <c r="BK66" s="291"/>
      <c r="BL66" s="291"/>
      <c r="BM66" s="291"/>
      <c r="BN66" s="291"/>
      <c r="BO66" s="291"/>
      <c r="BP66" s="291"/>
      <c r="BQ66" s="291"/>
      <c r="BR66" s="291"/>
      <c r="BS66" s="291"/>
      <c r="BT66" s="291"/>
      <c r="BU66" s="291"/>
      <c r="BV66" s="291"/>
      <c r="BW66" s="291"/>
      <c r="BX66" s="291"/>
      <c r="BY66" s="291"/>
      <c r="BZ66" s="291"/>
      <c r="CA66" s="291"/>
    </row>
    <row r="67" spans="1:79" ht="16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1"/>
      <c r="AV67" s="291"/>
      <c r="AW67" s="291"/>
      <c r="AX67" s="291"/>
      <c r="AY67" s="291"/>
      <c r="AZ67" s="291"/>
      <c r="BA67" s="291"/>
      <c r="BB67" s="291"/>
      <c r="BC67" s="291"/>
      <c r="BD67" s="291"/>
      <c r="BE67" s="291"/>
      <c r="BF67" s="291"/>
      <c r="BG67" s="291"/>
      <c r="BH67" s="291"/>
      <c r="BI67" s="291"/>
      <c r="BJ67" s="291"/>
      <c r="BK67" s="291"/>
      <c r="BL67" s="291"/>
      <c r="BM67" s="291"/>
      <c r="BN67" s="291"/>
      <c r="BO67" s="291"/>
      <c r="BP67" s="291"/>
      <c r="BQ67" s="291"/>
      <c r="BR67" s="291"/>
      <c r="BS67" s="291"/>
      <c r="BT67" s="291"/>
      <c r="BU67" s="291"/>
      <c r="BV67" s="291"/>
      <c r="BW67" s="291"/>
      <c r="BX67" s="291"/>
      <c r="BY67" s="291"/>
      <c r="BZ67" s="291"/>
      <c r="CA67" s="291"/>
    </row>
    <row r="68" spans="1:79" ht="16" x14ac:dyDescent="0.2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1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  <c r="AU68" s="291"/>
      <c r="AV68" s="291"/>
      <c r="AW68" s="291"/>
      <c r="AX68" s="291"/>
      <c r="AY68" s="291"/>
      <c r="AZ68" s="291"/>
      <c r="BA68" s="291"/>
      <c r="BB68" s="291"/>
      <c r="BC68" s="291"/>
      <c r="BD68" s="291"/>
      <c r="BE68" s="291"/>
      <c r="BF68" s="291"/>
      <c r="BG68" s="291"/>
      <c r="BH68" s="291"/>
      <c r="BI68" s="291"/>
      <c r="BJ68" s="291"/>
      <c r="BK68" s="291"/>
      <c r="BL68" s="291"/>
      <c r="BM68" s="291"/>
      <c r="BN68" s="291"/>
      <c r="BO68" s="291"/>
      <c r="BP68" s="291"/>
      <c r="BQ68" s="291"/>
      <c r="BR68" s="291"/>
      <c r="BS68" s="291"/>
      <c r="BT68" s="291"/>
      <c r="BU68" s="291"/>
      <c r="BV68" s="291"/>
      <c r="BW68" s="291"/>
      <c r="BX68" s="291"/>
      <c r="BY68" s="291"/>
      <c r="BZ68" s="291"/>
      <c r="CA68" s="291"/>
    </row>
    <row r="69" spans="1:79" ht="16" x14ac:dyDescent="0.2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291"/>
      <c r="AW69" s="291"/>
      <c r="AX69" s="291"/>
      <c r="AY69" s="291"/>
      <c r="AZ69" s="291"/>
      <c r="BA69" s="291"/>
      <c r="BB69" s="291"/>
      <c r="BC69" s="291"/>
      <c r="BD69" s="291"/>
      <c r="BE69" s="291"/>
      <c r="BF69" s="291"/>
      <c r="BG69" s="291"/>
      <c r="BH69" s="291"/>
      <c r="BI69" s="291"/>
      <c r="BJ69" s="291"/>
      <c r="BK69" s="291"/>
      <c r="BL69" s="291"/>
      <c r="BM69" s="291"/>
      <c r="BN69" s="291"/>
      <c r="BO69" s="291"/>
      <c r="BP69" s="291"/>
      <c r="BQ69" s="291"/>
      <c r="BR69" s="291"/>
      <c r="BS69" s="291"/>
      <c r="BT69" s="291"/>
      <c r="BU69" s="291"/>
      <c r="BV69" s="291"/>
      <c r="BW69" s="291"/>
      <c r="BX69" s="291"/>
      <c r="BY69" s="291"/>
      <c r="BZ69" s="291"/>
      <c r="CA69" s="291"/>
    </row>
    <row r="70" spans="1:79" ht="16" x14ac:dyDescent="0.2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  <c r="AG70" s="291"/>
      <c r="AH70" s="291"/>
      <c r="AI70" s="291"/>
      <c r="AJ70" s="291"/>
      <c r="AK70" s="291"/>
      <c r="AL70" s="291"/>
      <c r="AM70" s="291"/>
      <c r="AN70" s="291"/>
      <c r="AO70" s="291"/>
      <c r="AP70" s="291"/>
      <c r="AQ70" s="291"/>
      <c r="AR70" s="291"/>
      <c r="AS70" s="291"/>
      <c r="AT70" s="291"/>
      <c r="AU70" s="291"/>
      <c r="AV70" s="291"/>
      <c r="AW70" s="291"/>
      <c r="AX70" s="291"/>
      <c r="AY70" s="291"/>
      <c r="AZ70" s="291"/>
      <c r="BA70" s="291"/>
      <c r="BB70" s="291"/>
      <c r="BC70" s="291"/>
      <c r="BD70" s="291"/>
      <c r="BE70" s="291"/>
      <c r="BF70" s="291"/>
      <c r="BG70" s="291"/>
      <c r="BH70" s="291"/>
      <c r="BI70" s="291"/>
      <c r="BJ70" s="291"/>
      <c r="BK70" s="291"/>
      <c r="BL70" s="291"/>
      <c r="BM70" s="291"/>
      <c r="BN70" s="291"/>
      <c r="BO70" s="291"/>
      <c r="BP70" s="291"/>
      <c r="BQ70" s="291"/>
      <c r="BR70" s="291"/>
      <c r="BS70" s="291"/>
      <c r="BT70" s="291"/>
      <c r="BU70" s="291"/>
      <c r="BV70" s="291"/>
      <c r="BW70" s="291"/>
      <c r="BX70" s="291"/>
      <c r="BY70" s="291"/>
      <c r="BZ70" s="291"/>
      <c r="CA70" s="291"/>
    </row>
    <row r="71" spans="1:79" ht="16" x14ac:dyDescent="0.2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291"/>
      <c r="AW71" s="291"/>
      <c r="AX71" s="291"/>
      <c r="AY71" s="291"/>
      <c r="AZ71" s="291"/>
      <c r="BA71" s="291"/>
      <c r="BB71" s="291"/>
      <c r="BC71" s="291"/>
      <c r="BD71" s="291"/>
      <c r="BE71" s="291"/>
      <c r="BF71" s="291"/>
      <c r="BG71" s="291"/>
      <c r="BH71" s="291"/>
      <c r="BI71" s="291"/>
      <c r="BJ71" s="291"/>
      <c r="BK71" s="291"/>
      <c r="BL71" s="291"/>
      <c r="BM71" s="291"/>
      <c r="BN71" s="291"/>
      <c r="BO71" s="291"/>
      <c r="BP71" s="291"/>
      <c r="BQ71" s="291"/>
      <c r="BR71" s="291"/>
      <c r="BS71" s="291"/>
      <c r="BT71" s="291"/>
      <c r="BU71" s="291"/>
      <c r="BV71" s="291"/>
      <c r="BW71" s="291"/>
      <c r="BX71" s="291"/>
      <c r="BY71" s="291"/>
      <c r="BZ71" s="291"/>
      <c r="CA71" s="291"/>
    </row>
    <row r="72" spans="1:79" ht="16" x14ac:dyDescent="0.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1"/>
      <c r="AM72" s="291"/>
      <c r="AN72" s="291"/>
      <c r="AO72" s="291"/>
      <c r="AP72" s="291"/>
      <c r="AQ72" s="291"/>
      <c r="AR72" s="291"/>
      <c r="AS72" s="291"/>
      <c r="AT72" s="291"/>
      <c r="AU72" s="291"/>
      <c r="AV72" s="291"/>
      <c r="AW72" s="291"/>
      <c r="AX72" s="291"/>
      <c r="AY72" s="291"/>
      <c r="AZ72" s="291"/>
      <c r="BA72" s="291"/>
      <c r="BB72" s="291"/>
      <c r="BC72" s="291"/>
      <c r="BD72" s="291"/>
      <c r="BE72" s="291"/>
      <c r="BF72" s="291"/>
      <c r="BG72" s="291"/>
      <c r="BH72" s="291"/>
      <c r="BI72" s="291"/>
      <c r="BJ72" s="291"/>
      <c r="BK72" s="291"/>
      <c r="BL72" s="291"/>
      <c r="BM72" s="291"/>
      <c r="BN72" s="291"/>
      <c r="BO72" s="291"/>
      <c r="BP72" s="291"/>
      <c r="BQ72" s="291"/>
      <c r="BR72" s="291"/>
      <c r="BS72" s="291"/>
      <c r="BT72" s="291"/>
      <c r="BU72" s="291"/>
      <c r="BV72" s="291"/>
      <c r="BW72" s="291"/>
      <c r="BX72" s="291"/>
      <c r="BY72" s="291"/>
      <c r="BZ72" s="291"/>
      <c r="CA72" s="291"/>
    </row>
    <row r="73" spans="1:79" ht="16" x14ac:dyDescent="0.2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291"/>
      <c r="AW73" s="291"/>
      <c r="AX73" s="291"/>
      <c r="AY73" s="291"/>
      <c r="AZ73" s="291"/>
      <c r="BA73" s="291"/>
      <c r="BB73" s="291"/>
      <c r="BC73" s="291"/>
      <c r="BD73" s="291"/>
      <c r="BE73" s="291"/>
      <c r="BF73" s="291"/>
      <c r="BG73" s="291"/>
      <c r="BH73" s="291"/>
      <c r="BI73" s="291"/>
      <c r="BJ73" s="291"/>
      <c r="BK73" s="291"/>
      <c r="BL73" s="291"/>
      <c r="BM73" s="291"/>
      <c r="BN73" s="291"/>
      <c r="BO73" s="291"/>
      <c r="BP73" s="291"/>
      <c r="BQ73" s="291"/>
      <c r="BR73" s="291"/>
      <c r="BS73" s="291"/>
      <c r="BT73" s="291"/>
      <c r="BU73" s="291"/>
      <c r="BV73" s="291"/>
      <c r="BW73" s="291"/>
      <c r="BX73" s="291"/>
      <c r="BY73" s="291"/>
      <c r="BZ73" s="291"/>
      <c r="CA73" s="291"/>
    </row>
    <row r="74" spans="1:79" ht="16" x14ac:dyDescent="0.2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1"/>
      <c r="AM74" s="291"/>
      <c r="AN74" s="291"/>
      <c r="AO74" s="291"/>
      <c r="AP74" s="291"/>
      <c r="AQ74" s="291"/>
      <c r="AR74" s="291"/>
      <c r="AS74" s="291"/>
      <c r="AT74" s="291"/>
      <c r="AU74" s="291"/>
      <c r="AV74" s="291"/>
      <c r="AW74" s="291"/>
      <c r="AX74" s="291"/>
      <c r="AY74" s="291"/>
      <c r="AZ74" s="291"/>
      <c r="BA74" s="291"/>
      <c r="BB74" s="291"/>
      <c r="BC74" s="291"/>
      <c r="BD74" s="291"/>
      <c r="BE74" s="291"/>
      <c r="BF74" s="291"/>
      <c r="BG74" s="291"/>
      <c r="BH74" s="291"/>
      <c r="BI74" s="291"/>
      <c r="BJ74" s="291"/>
      <c r="BK74" s="291"/>
      <c r="BL74" s="291"/>
      <c r="BM74" s="291"/>
      <c r="BN74" s="291"/>
      <c r="BO74" s="291"/>
      <c r="BP74" s="291"/>
      <c r="BQ74" s="291"/>
      <c r="BR74" s="291"/>
      <c r="BS74" s="291"/>
      <c r="BT74" s="291"/>
      <c r="BU74" s="291"/>
      <c r="BV74" s="291"/>
      <c r="BW74" s="291"/>
      <c r="BX74" s="291"/>
      <c r="BY74" s="291"/>
      <c r="BZ74" s="291"/>
      <c r="CA74" s="291"/>
    </row>
    <row r="75" spans="1:79" ht="16" x14ac:dyDescent="0.2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91"/>
      <c r="AR75" s="291"/>
      <c r="AS75" s="291"/>
      <c r="AT75" s="291"/>
      <c r="AU75" s="291"/>
      <c r="AV75" s="291"/>
      <c r="AW75" s="291"/>
      <c r="AX75" s="291"/>
      <c r="AY75" s="291"/>
      <c r="AZ75" s="291"/>
      <c r="BA75" s="291"/>
      <c r="BB75" s="291"/>
      <c r="BC75" s="291"/>
      <c r="BD75" s="291"/>
      <c r="BE75" s="291"/>
      <c r="BF75" s="291"/>
      <c r="BG75" s="291"/>
      <c r="BH75" s="291"/>
      <c r="BI75" s="291"/>
      <c r="BJ75" s="291"/>
      <c r="BK75" s="291"/>
      <c r="BL75" s="291"/>
      <c r="BM75" s="291"/>
      <c r="BN75" s="291"/>
      <c r="BO75" s="291"/>
      <c r="BP75" s="291"/>
      <c r="BQ75" s="291"/>
      <c r="BR75" s="291"/>
      <c r="BS75" s="291"/>
      <c r="BT75" s="291"/>
      <c r="BU75" s="291"/>
      <c r="BV75" s="291"/>
      <c r="BW75" s="291"/>
      <c r="BX75" s="291"/>
      <c r="BY75" s="291"/>
      <c r="BZ75" s="291"/>
      <c r="CA75" s="291"/>
    </row>
    <row r="76" spans="1:79" ht="16" x14ac:dyDescent="0.2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1"/>
      <c r="AM76" s="291"/>
      <c r="AN76" s="291"/>
      <c r="AO76" s="291"/>
      <c r="AP76" s="291"/>
      <c r="AQ76" s="291"/>
      <c r="AR76" s="291"/>
      <c r="AS76" s="291"/>
      <c r="AT76" s="291"/>
      <c r="AU76" s="291"/>
      <c r="AV76" s="291"/>
      <c r="AW76" s="291"/>
      <c r="AX76" s="291"/>
      <c r="AY76" s="291"/>
      <c r="AZ76" s="291"/>
      <c r="BA76" s="291"/>
      <c r="BB76" s="291"/>
      <c r="BC76" s="291"/>
      <c r="BD76" s="291"/>
      <c r="BE76" s="291"/>
      <c r="BF76" s="291"/>
      <c r="BG76" s="291"/>
      <c r="BH76" s="291"/>
      <c r="BI76" s="291"/>
      <c r="BJ76" s="291"/>
      <c r="BK76" s="291"/>
      <c r="BL76" s="291"/>
      <c r="BM76" s="291"/>
      <c r="BN76" s="291"/>
      <c r="BO76" s="291"/>
      <c r="BP76" s="291"/>
      <c r="BQ76" s="291"/>
      <c r="BR76" s="291"/>
      <c r="BS76" s="291"/>
      <c r="BT76" s="291"/>
      <c r="BU76" s="291"/>
      <c r="BV76" s="291"/>
      <c r="BW76" s="291"/>
      <c r="BX76" s="291"/>
      <c r="BY76" s="291"/>
      <c r="BZ76" s="291"/>
      <c r="CA76" s="291"/>
    </row>
    <row r="77" spans="1:79" ht="16" x14ac:dyDescent="0.2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291"/>
      <c r="AX77" s="291"/>
      <c r="AY77" s="291"/>
      <c r="AZ77" s="291"/>
      <c r="BA77" s="291"/>
      <c r="BB77" s="291"/>
      <c r="BC77" s="291"/>
      <c r="BD77" s="291"/>
      <c r="BE77" s="291"/>
      <c r="BF77" s="291"/>
      <c r="BG77" s="291"/>
      <c r="BH77" s="291"/>
      <c r="BI77" s="291"/>
      <c r="BJ77" s="291"/>
      <c r="BK77" s="291"/>
      <c r="BL77" s="291"/>
      <c r="BM77" s="291"/>
      <c r="BN77" s="291"/>
      <c r="BO77" s="291"/>
      <c r="BP77" s="291"/>
      <c r="BQ77" s="291"/>
      <c r="BR77" s="291"/>
      <c r="BS77" s="291"/>
      <c r="BT77" s="291"/>
      <c r="BU77" s="291"/>
      <c r="BV77" s="291"/>
      <c r="BW77" s="291"/>
      <c r="BX77" s="291"/>
      <c r="BY77" s="291"/>
      <c r="BZ77" s="291"/>
      <c r="CA77" s="291"/>
    </row>
    <row r="78" spans="1:79" ht="16" x14ac:dyDescent="0.2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/>
      <c r="BM78" s="291"/>
      <c r="BN78" s="291"/>
      <c r="BO78" s="291"/>
      <c r="BP78" s="291"/>
      <c r="BQ78" s="291"/>
      <c r="BR78" s="291"/>
      <c r="BS78" s="291"/>
      <c r="BT78" s="291"/>
      <c r="BU78" s="291"/>
      <c r="BV78" s="291"/>
      <c r="BW78" s="291"/>
      <c r="BX78" s="291"/>
      <c r="BY78" s="291"/>
      <c r="BZ78" s="291"/>
      <c r="CA78" s="291"/>
    </row>
    <row r="79" spans="1:79" ht="16" x14ac:dyDescent="0.2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1"/>
      <c r="AV79" s="291"/>
      <c r="AW79" s="291"/>
      <c r="AX79" s="291"/>
      <c r="AY79" s="291"/>
      <c r="AZ79" s="291"/>
      <c r="BA79" s="291"/>
      <c r="BB79" s="291"/>
      <c r="BC79" s="291"/>
      <c r="BD79" s="291"/>
      <c r="BE79" s="291"/>
      <c r="BF79" s="291"/>
      <c r="BG79" s="291"/>
      <c r="BH79" s="291"/>
      <c r="BI79" s="291"/>
      <c r="BJ79" s="291"/>
      <c r="BK79" s="291"/>
      <c r="BL79" s="291"/>
      <c r="BM79" s="291"/>
      <c r="BN79" s="291"/>
      <c r="BO79" s="291"/>
      <c r="BP79" s="291"/>
      <c r="BQ79" s="291"/>
      <c r="BR79" s="291"/>
      <c r="BS79" s="291"/>
      <c r="BT79" s="291"/>
      <c r="BU79" s="291"/>
      <c r="BV79" s="291"/>
      <c r="BW79" s="291"/>
      <c r="BX79" s="291"/>
      <c r="BY79" s="291"/>
      <c r="BZ79" s="291"/>
      <c r="CA79" s="291"/>
    </row>
    <row r="80" spans="1:79" ht="16" x14ac:dyDescent="0.2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291"/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  <c r="AA80" s="291"/>
      <c r="AB80" s="291"/>
      <c r="AC80" s="291"/>
      <c r="AD80" s="291"/>
      <c r="AE80" s="291"/>
      <c r="AF80" s="291"/>
      <c r="AG80" s="291"/>
      <c r="AH80" s="291"/>
      <c r="AI80" s="291"/>
      <c r="AJ80" s="291"/>
      <c r="AK80" s="291"/>
      <c r="AL80" s="291"/>
      <c r="AM80" s="291"/>
      <c r="AN80" s="291"/>
      <c r="AO80" s="291"/>
      <c r="AP80" s="291"/>
      <c r="AQ80" s="291"/>
      <c r="AR80" s="291"/>
      <c r="AS80" s="291"/>
      <c r="AT80" s="291"/>
      <c r="AU80" s="291"/>
      <c r="AV80" s="291"/>
      <c r="AW80" s="291"/>
      <c r="AX80" s="291"/>
      <c r="AY80" s="291"/>
      <c r="AZ80" s="291"/>
      <c r="BA80" s="291"/>
      <c r="BB80" s="291"/>
      <c r="BC80" s="291"/>
      <c r="BD80" s="291"/>
      <c r="BE80" s="291"/>
      <c r="BF80" s="291"/>
      <c r="BG80" s="291"/>
      <c r="BH80" s="291"/>
      <c r="BI80" s="291"/>
      <c r="BJ80" s="291"/>
      <c r="BK80" s="291"/>
      <c r="BL80" s="291"/>
      <c r="BM80" s="291"/>
      <c r="BN80" s="291"/>
      <c r="BO80" s="291"/>
      <c r="BP80" s="291"/>
      <c r="BQ80" s="291"/>
      <c r="BR80" s="291"/>
      <c r="BS80" s="291"/>
      <c r="BT80" s="291"/>
      <c r="BU80" s="291"/>
      <c r="BV80" s="291"/>
      <c r="BW80" s="291"/>
      <c r="BX80" s="291"/>
      <c r="BY80" s="291"/>
      <c r="BZ80" s="291"/>
      <c r="CA80" s="291"/>
    </row>
    <row r="81" spans="1:79" ht="16" x14ac:dyDescent="0.2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291"/>
      <c r="P81" s="291"/>
      <c r="Q81" s="291"/>
      <c r="R81" s="291"/>
      <c r="S81" s="291"/>
      <c r="T81" s="291"/>
      <c r="U81" s="291"/>
      <c r="V81" s="291"/>
      <c r="W81" s="291"/>
      <c r="X81" s="291"/>
      <c r="Y81" s="291"/>
      <c r="Z81" s="291"/>
      <c r="AA81" s="291"/>
      <c r="AB81" s="291"/>
      <c r="AC81" s="291"/>
      <c r="AD81" s="291"/>
      <c r="AE81" s="291"/>
      <c r="AF81" s="291"/>
      <c r="AG81" s="291"/>
      <c r="AH81" s="291"/>
      <c r="AI81" s="291"/>
      <c r="AJ81" s="291"/>
      <c r="AK81" s="291"/>
      <c r="AL81" s="291"/>
      <c r="AM81" s="291"/>
      <c r="AN81" s="291"/>
      <c r="AO81" s="291"/>
      <c r="AP81" s="291"/>
      <c r="AQ81" s="291"/>
      <c r="AR81" s="291"/>
      <c r="AS81" s="291"/>
      <c r="AT81" s="291"/>
      <c r="AU81" s="291"/>
      <c r="AV81" s="291"/>
      <c r="AW81" s="291"/>
      <c r="AX81" s="291"/>
      <c r="AY81" s="291"/>
      <c r="AZ81" s="291"/>
      <c r="BA81" s="291"/>
      <c r="BB81" s="291"/>
      <c r="BC81" s="291"/>
      <c r="BD81" s="291"/>
      <c r="BE81" s="291"/>
      <c r="BF81" s="291"/>
      <c r="BG81" s="291"/>
      <c r="BH81" s="291"/>
      <c r="BI81" s="291"/>
      <c r="BJ81" s="291"/>
      <c r="BK81" s="291"/>
      <c r="BL81" s="291"/>
      <c r="BM81" s="291"/>
      <c r="BN81" s="291"/>
      <c r="BO81" s="291"/>
      <c r="BP81" s="291"/>
      <c r="BQ81" s="291"/>
      <c r="BR81" s="291"/>
      <c r="BS81" s="291"/>
      <c r="BT81" s="291"/>
      <c r="BU81" s="291"/>
      <c r="BV81" s="291"/>
      <c r="BW81" s="291"/>
      <c r="BX81" s="291"/>
      <c r="BY81" s="291"/>
      <c r="BZ81" s="291"/>
      <c r="CA81" s="29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BB9A-9A36-1E45-B55F-8412C1DEA605}">
  <dimension ref="B5:P25"/>
  <sheetViews>
    <sheetView workbookViewId="0">
      <selection activeCell="M13" sqref="M13"/>
    </sheetView>
  </sheetViews>
  <sheetFormatPr baseColWidth="10" defaultRowHeight="16" x14ac:dyDescent="0.2"/>
  <cols>
    <col min="13" max="13" width="13.6640625" customWidth="1"/>
    <col min="16" max="16" width="13.5" customWidth="1"/>
  </cols>
  <sheetData>
    <row r="5" spans="2:16" x14ac:dyDescent="0.2">
      <c r="B5" s="2" t="s">
        <v>444</v>
      </c>
      <c r="C5" s="2"/>
      <c r="D5" s="2"/>
      <c r="E5" s="2"/>
      <c r="F5" s="2"/>
      <c r="G5" s="2" t="s">
        <v>0</v>
      </c>
      <c r="H5" s="2" t="s">
        <v>1</v>
      </c>
      <c r="I5" s="2" t="s">
        <v>436</v>
      </c>
      <c r="J5" s="2" t="s">
        <v>2</v>
      </c>
      <c r="K5" s="2"/>
      <c r="L5" s="2" t="s">
        <v>7</v>
      </c>
      <c r="M5" s="2"/>
      <c r="N5" s="2"/>
      <c r="O5" s="2" t="s">
        <v>8</v>
      </c>
      <c r="P5" s="2"/>
    </row>
    <row r="6" spans="2:16" x14ac:dyDescent="0.2">
      <c r="B6" s="2" t="s">
        <v>488</v>
      </c>
      <c r="C6" s="2" t="s">
        <v>447</v>
      </c>
      <c r="D6" s="2" t="s">
        <v>448</v>
      </c>
      <c r="E6" s="2" t="s">
        <v>449</v>
      </c>
      <c r="F6" s="2" t="s">
        <v>451</v>
      </c>
      <c r="G6" s="2" t="s">
        <v>455</v>
      </c>
      <c r="H6" s="2" t="s">
        <v>455</v>
      </c>
      <c r="I6" s="2" t="s">
        <v>455</v>
      </c>
      <c r="J6" s="2" t="s">
        <v>455</v>
      </c>
      <c r="K6" s="2" t="s">
        <v>456</v>
      </c>
      <c r="L6" s="2" t="s">
        <v>457</v>
      </c>
      <c r="M6" s="2" t="s">
        <v>458</v>
      </c>
      <c r="N6" s="2" t="s">
        <v>456</v>
      </c>
      <c r="O6" s="2" t="s">
        <v>457</v>
      </c>
      <c r="P6" s="2" t="s">
        <v>458</v>
      </c>
    </row>
    <row r="7" spans="2:16" x14ac:dyDescent="0.2">
      <c r="B7" s="378" t="s">
        <v>460</v>
      </c>
      <c r="C7" s="378" t="s">
        <v>460</v>
      </c>
      <c r="D7" s="378" t="s">
        <v>460</v>
      </c>
      <c r="E7" s="378" t="s">
        <v>460</v>
      </c>
      <c r="F7" s="378" t="s">
        <v>461</v>
      </c>
      <c r="G7" s="378" t="s">
        <v>463</v>
      </c>
      <c r="H7" s="378" t="s">
        <v>463</v>
      </c>
      <c r="I7" s="378" t="s">
        <v>463</v>
      </c>
      <c r="J7" s="378" t="s">
        <v>463</v>
      </c>
      <c r="K7" s="378" t="s">
        <v>464</v>
      </c>
      <c r="L7" s="378" t="s">
        <v>464</v>
      </c>
      <c r="M7" s="378" t="s">
        <v>465</v>
      </c>
      <c r="N7" s="378" t="s">
        <v>464</v>
      </c>
      <c r="O7" s="378" t="s">
        <v>464</v>
      </c>
      <c r="P7" s="378" t="s">
        <v>465</v>
      </c>
    </row>
    <row r="8" spans="2:16" x14ac:dyDescent="0.2">
      <c r="B8" s="2" t="s">
        <v>192</v>
      </c>
      <c r="C8" s="2">
        <v>2</v>
      </c>
      <c r="D8" s="2">
        <v>1</v>
      </c>
      <c r="E8" s="2">
        <v>1</v>
      </c>
      <c r="F8" s="2">
        <v>125</v>
      </c>
      <c r="G8" s="1">
        <v>47144.139710977433</v>
      </c>
      <c r="H8" s="1">
        <v>40.852807375197081</v>
      </c>
      <c r="I8" s="1">
        <v>1470.7010655070949</v>
      </c>
      <c r="J8" s="1">
        <v>296231.91110913816</v>
      </c>
      <c r="K8" s="2">
        <v>121</v>
      </c>
      <c r="L8" s="2">
        <v>4536</v>
      </c>
      <c r="M8" s="379">
        <v>2.6675485008818343</v>
      </c>
      <c r="N8" s="2">
        <v>235</v>
      </c>
      <c r="O8" s="2">
        <v>4518</v>
      </c>
      <c r="P8" s="379">
        <v>5.2014165559982288</v>
      </c>
    </row>
    <row r="9" spans="2:16" x14ac:dyDescent="0.2">
      <c r="B9" s="2" t="s">
        <v>192</v>
      </c>
      <c r="C9" s="2">
        <v>2</v>
      </c>
      <c r="D9" s="2">
        <v>1</v>
      </c>
      <c r="E9" s="2">
        <v>4</v>
      </c>
      <c r="F9" s="2">
        <v>100</v>
      </c>
      <c r="G9" s="1">
        <v>127979.15288840323</v>
      </c>
      <c r="H9" s="1">
        <v>1004.025649135923</v>
      </c>
      <c r="I9" s="1">
        <v>1052.7647583172786</v>
      </c>
      <c r="J9" s="1">
        <v>382480.12924204831</v>
      </c>
      <c r="K9" s="2">
        <v>30.9</v>
      </c>
      <c r="L9" s="2">
        <v>4493</v>
      </c>
      <c r="M9" s="379">
        <v>0.68773647896728241</v>
      </c>
      <c r="N9" s="2">
        <v>67.5</v>
      </c>
      <c r="O9" s="2">
        <v>4501</v>
      </c>
      <c r="P9" s="379">
        <v>1.4996667407242834</v>
      </c>
    </row>
    <row r="10" spans="2:16" x14ac:dyDescent="0.2">
      <c r="B10" s="2" t="s">
        <v>192</v>
      </c>
      <c r="C10" s="2">
        <v>2</v>
      </c>
      <c r="D10" s="2">
        <v>1</v>
      </c>
      <c r="E10" s="2">
        <v>7</v>
      </c>
      <c r="F10" s="2">
        <v>75</v>
      </c>
      <c r="G10" s="1">
        <v>204770.66766132039</v>
      </c>
      <c r="H10" s="1">
        <v>1517.3442745244311</v>
      </c>
      <c r="I10" s="1">
        <v>789.01902275270425</v>
      </c>
      <c r="J10" s="1">
        <v>471636.84987671475</v>
      </c>
      <c r="K10" s="2">
        <v>16.8</v>
      </c>
      <c r="L10" s="2">
        <v>4498</v>
      </c>
      <c r="M10" s="379">
        <v>0.3734993330369053</v>
      </c>
      <c r="N10" s="2">
        <v>36.4</v>
      </c>
      <c r="O10" s="2">
        <v>4556</v>
      </c>
      <c r="P10" s="379">
        <v>0.79894644424934147</v>
      </c>
    </row>
    <row r="11" spans="2:16" x14ac:dyDescent="0.2">
      <c r="B11" s="2" t="s">
        <v>192</v>
      </c>
      <c r="C11" s="2">
        <v>2</v>
      </c>
      <c r="D11" s="2">
        <v>1</v>
      </c>
      <c r="E11" s="2">
        <v>10</v>
      </c>
      <c r="F11" s="2">
        <v>45</v>
      </c>
      <c r="G11" s="1">
        <v>215453.40061626397</v>
      </c>
      <c r="H11" s="1">
        <v>1079.8910373777517</v>
      </c>
      <c r="I11" s="1">
        <v>1049.613718572768</v>
      </c>
      <c r="J11" s="1">
        <v>615749.16476018692</v>
      </c>
      <c r="K11" s="2">
        <v>10.3</v>
      </c>
      <c r="L11" s="2">
        <v>4525</v>
      </c>
      <c r="M11" s="379">
        <v>0.22762430939226522</v>
      </c>
      <c r="N11" s="2">
        <v>14.5</v>
      </c>
      <c r="O11" s="2">
        <v>4563</v>
      </c>
      <c r="P11" s="379">
        <v>0.31777339469647159</v>
      </c>
    </row>
    <row r="12" spans="2:16" x14ac:dyDescent="0.2">
      <c r="B12" s="2" t="s">
        <v>192</v>
      </c>
      <c r="C12" s="2">
        <v>2</v>
      </c>
      <c r="D12" s="2">
        <v>1</v>
      </c>
      <c r="E12" s="2">
        <v>13</v>
      </c>
      <c r="F12" s="2">
        <v>25</v>
      </c>
      <c r="G12" s="1">
        <v>224947.02290685606</v>
      </c>
      <c r="H12" s="1">
        <v>629.08053316306155</v>
      </c>
      <c r="I12" s="1">
        <v>974.06018038151478</v>
      </c>
      <c r="J12" s="1">
        <v>628759.42724405567</v>
      </c>
      <c r="K12" s="2">
        <v>10.199999999999999</v>
      </c>
      <c r="L12" s="2">
        <v>4508</v>
      </c>
      <c r="M12" s="379">
        <v>0.22626441881100265</v>
      </c>
      <c r="N12" s="2">
        <v>11.1</v>
      </c>
      <c r="O12" s="2">
        <v>4536</v>
      </c>
      <c r="P12" s="379">
        <v>0.24470899470899471</v>
      </c>
    </row>
    <row r="13" spans="2:16" x14ac:dyDescent="0.2">
      <c r="B13" s="2" t="s">
        <v>192</v>
      </c>
      <c r="C13" s="2">
        <v>2</v>
      </c>
      <c r="D13" s="2">
        <v>1</v>
      </c>
      <c r="E13" s="2">
        <v>16</v>
      </c>
      <c r="F13" s="2">
        <v>5</v>
      </c>
      <c r="G13" s="1">
        <v>226204.0548305015</v>
      </c>
      <c r="H13" s="1">
        <v>435.93531970778946</v>
      </c>
      <c r="I13" s="1">
        <v>862.59541984732812</v>
      </c>
      <c r="J13" s="1">
        <v>642263.94850794296</v>
      </c>
      <c r="K13" s="2">
        <v>10.4</v>
      </c>
      <c r="L13" s="2">
        <v>4273</v>
      </c>
      <c r="M13" s="379">
        <v>0.24338871986894456</v>
      </c>
      <c r="N13" s="2">
        <v>10.7</v>
      </c>
      <c r="O13" s="2">
        <v>4452</v>
      </c>
      <c r="P13" s="379">
        <v>0.24034141958670258</v>
      </c>
    </row>
    <row r="14" spans="2:16" x14ac:dyDescent="0.2">
      <c r="B14" s="2" t="s">
        <v>192</v>
      </c>
      <c r="C14" s="2">
        <v>2</v>
      </c>
      <c r="D14" s="2">
        <v>24</v>
      </c>
      <c r="E14" s="2">
        <v>1</v>
      </c>
      <c r="F14" s="2">
        <v>125</v>
      </c>
      <c r="G14" s="1">
        <v>36118.17491406187</v>
      </c>
      <c r="H14" s="1">
        <v>0</v>
      </c>
      <c r="I14" s="1">
        <v>1991.8858421936202</v>
      </c>
      <c r="J14" s="1">
        <v>306995.42735956254</v>
      </c>
      <c r="K14" s="2">
        <v>152</v>
      </c>
      <c r="L14" s="2">
        <v>4474</v>
      </c>
      <c r="M14" s="379">
        <v>3.3974072418417522</v>
      </c>
      <c r="N14" s="2">
        <v>294</v>
      </c>
      <c r="O14" s="2">
        <v>4518</v>
      </c>
      <c r="P14" s="379">
        <v>6.5073041168658694</v>
      </c>
    </row>
    <row r="15" spans="2:16" x14ac:dyDescent="0.2">
      <c r="B15" s="2" t="s">
        <v>192</v>
      </c>
      <c r="C15" s="2">
        <v>2</v>
      </c>
      <c r="D15" s="2">
        <v>24</v>
      </c>
      <c r="E15" s="2">
        <v>4</v>
      </c>
      <c r="F15" s="2">
        <v>100</v>
      </c>
      <c r="G15" s="1">
        <v>104432.28084752805</v>
      </c>
      <c r="H15" s="1">
        <v>432.57760104457236</v>
      </c>
      <c r="I15" s="1">
        <v>1207.1933052406671</v>
      </c>
      <c r="J15" s="1">
        <v>380393.57235490298</v>
      </c>
      <c r="K15" s="2">
        <v>40.9</v>
      </c>
      <c r="L15" s="2">
        <v>4472</v>
      </c>
      <c r="M15" s="379">
        <v>0.91457960644007152</v>
      </c>
      <c r="N15" s="2">
        <v>93.9</v>
      </c>
      <c r="O15" s="2">
        <v>4537</v>
      </c>
      <c r="P15" s="379">
        <v>2.0696495481595769</v>
      </c>
    </row>
    <row r="16" spans="2:16" x14ac:dyDescent="0.2">
      <c r="B16" s="2" t="s">
        <v>192</v>
      </c>
      <c r="C16" s="2">
        <v>2</v>
      </c>
      <c r="D16" s="2">
        <v>24</v>
      </c>
      <c r="E16" s="2">
        <v>7</v>
      </c>
      <c r="F16" s="2">
        <v>75</v>
      </c>
      <c r="G16" s="1">
        <v>263443.40546097577</v>
      </c>
      <c r="H16" s="1">
        <v>1570.79543721747</v>
      </c>
      <c r="I16" s="1">
        <v>800.40531832737315</v>
      </c>
      <c r="J16" s="1">
        <v>477442.91904133529</v>
      </c>
      <c r="K16" s="2">
        <v>13.2</v>
      </c>
      <c r="L16" s="2">
        <v>4444</v>
      </c>
      <c r="M16" s="379">
        <v>0.29702970297029702</v>
      </c>
      <c r="N16" s="2">
        <v>29.5</v>
      </c>
      <c r="O16" s="2">
        <v>4500</v>
      </c>
      <c r="P16" s="379">
        <v>0.65555555555555556</v>
      </c>
    </row>
    <row r="17" spans="2:16" x14ac:dyDescent="0.2">
      <c r="B17" s="2" t="s">
        <v>192</v>
      </c>
      <c r="C17" s="2">
        <v>2</v>
      </c>
      <c r="D17" s="2">
        <v>24</v>
      </c>
      <c r="E17" s="2">
        <v>10</v>
      </c>
      <c r="F17" s="2">
        <v>45</v>
      </c>
      <c r="G17" s="1">
        <v>245914.34776572321</v>
      </c>
      <c r="H17" s="1">
        <v>927.86449552747979</v>
      </c>
      <c r="I17" s="1">
        <v>1069.0612665860092</v>
      </c>
      <c r="J17" s="1">
        <v>638698.8847709595</v>
      </c>
      <c r="K17" s="2">
        <v>10.4</v>
      </c>
      <c r="L17" s="2">
        <v>4521</v>
      </c>
      <c r="M17" s="379">
        <v>0.23003760230037601</v>
      </c>
      <c r="N17" s="2">
        <v>10.7</v>
      </c>
      <c r="O17" s="2">
        <v>4518</v>
      </c>
      <c r="P17" s="379">
        <v>0.2368304559539619</v>
      </c>
    </row>
    <row r="18" spans="2:16" x14ac:dyDescent="0.2">
      <c r="B18" s="2" t="s">
        <v>192</v>
      </c>
      <c r="C18" s="2">
        <v>2</v>
      </c>
      <c r="D18" s="2">
        <v>24</v>
      </c>
      <c r="E18" s="2">
        <v>13</v>
      </c>
      <c r="F18" s="2">
        <v>25</v>
      </c>
      <c r="G18" s="1">
        <v>219209.39825299254</v>
      </c>
      <c r="H18" s="1">
        <v>1110.4416046586864</v>
      </c>
      <c r="I18" s="1">
        <v>1110.4416046586864</v>
      </c>
      <c r="J18" s="1">
        <v>639819.54161805264</v>
      </c>
      <c r="K18" s="2">
        <v>10.199999999999999</v>
      </c>
      <c r="L18" s="2">
        <v>4437</v>
      </c>
      <c r="M18" s="379">
        <v>0.22988505747126436</v>
      </c>
      <c r="N18" s="2">
        <v>10.3</v>
      </c>
      <c r="O18" s="2">
        <v>4538</v>
      </c>
      <c r="P18" s="379">
        <v>0.22697223446452183</v>
      </c>
    </row>
    <row r="19" spans="2:16" x14ac:dyDescent="0.2">
      <c r="B19" s="2" t="s">
        <v>192</v>
      </c>
      <c r="C19" s="2">
        <v>2</v>
      </c>
      <c r="D19" s="2">
        <v>24</v>
      </c>
      <c r="E19" s="2">
        <v>16</v>
      </c>
      <c r="F19" s="2">
        <v>5</v>
      </c>
      <c r="G19" s="1">
        <v>227534.40672549838</v>
      </c>
      <c r="H19" s="1">
        <v>839.97935154003085</v>
      </c>
      <c r="I19" s="1">
        <v>1099.9729603500405</v>
      </c>
      <c r="J19" s="1">
        <v>616447.51565254759</v>
      </c>
      <c r="K19" s="2">
        <v>10.4</v>
      </c>
      <c r="L19" s="2">
        <v>4496</v>
      </c>
      <c r="M19" s="379">
        <v>0.23131672597864772</v>
      </c>
      <c r="N19" s="2">
        <v>9.6</v>
      </c>
      <c r="O19" s="2">
        <v>4494</v>
      </c>
      <c r="P19" s="379">
        <v>0.2136181575433912</v>
      </c>
    </row>
    <row r="20" spans="2:16" x14ac:dyDescent="0.2">
      <c r="B20" s="2" t="s">
        <v>192</v>
      </c>
      <c r="C20" s="2">
        <v>2</v>
      </c>
      <c r="D20" s="2">
        <v>38</v>
      </c>
      <c r="E20" s="2">
        <v>1</v>
      </c>
      <c r="F20" s="2">
        <v>125</v>
      </c>
      <c r="G20" s="1">
        <v>95307.952241495819</v>
      </c>
      <c r="H20" s="1">
        <v>254.56183825185852</v>
      </c>
      <c r="I20" s="1">
        <v>1781.9328677630094</v>
      </c>
      <c r="J20" s="1">
        <v>376470.35445690609</v>
      </c>
      <c r="K20" s="2">
        <v>39.1</v>
      </c>
      <c r="L20" s="2">
        <v>4472</v>
      </c>
      <c r="M20" s="379">
        <v>0.87432915921288012</v>
      </c>
      <c r="N20" s="2">
        <v>96.6</v>
      </c>
      <c r="O20" s="2">
        <v>4529</v>
      </c>
      <c r="P20" s="379">
        <v>2.1329211746522412</v>
      </c>
    </row>
    <row r="21" spans="2:16" x14ac:dyDescent="0.2">
      <c r="B21" s="2" t="s">
        <v>192</v>
      </c>
      <c r="C21" s="2">
        <v>2</v>
      </c>
      <c r="D21" s="2">
        <v>38</v>
      </c>
      <c r="E21" s="2">
        <v>4</v>
      </c>
      <c r="F21" s="2">
        <v>100</v>
      </c>
      <c r="G21" s="1">
        <v>252706.13296246962</v>
      </c>
      <c r="H21" s="1">
        <v>1255.0144950246806</v>
      </c>
      <c r="I21" s="1">
        <v>1284.8957925252682</v>
      </c>
      <c r="J21" s="1">
        <v>404130.05938985769</v>
      </c>
      <c r="K21" s="2">
        <v>14.1</v>
      </c>
      <c r="L21" s="2">
        <v>4493</v>
      </c>
      <c r="M21" s="379">
        <v>0.31382150011128424</v>
      </c>
      <c r="N21" s="2">
        <v>34.299999999999997</v>
      </c>
      <c r="O21" s="2">
        <v>4523</v>
      </c>
      <c r="P21" s="379">
        <v>0.75834623037806759</v>
      </c>
    </row>
    <row r="22" spans="2:16" x14ac:dyDescent="0.2">
      <c r="B22" s="2" t="s">
        <v>192</v>
      </c>
      <c r="C22" s="2">
        <v>2</v>
      </c>
      <c r="D22" s="2">
        <v>38</v>
      </c>
      <c r="E22" s="2">
        <v>7</v>
      </c>
      <c r="F22" s="2">
        <v>75</v>
      </c>
      <c r="G22" s="1">
        <v>251599.44875995771</v>
      </c>
      <c r="H22" s="1">
        <v>1855.2598313562385</v>
      </c>
      <c r="I22" s="1">
        <v>1058.708055936984</v>
      </c>
      <c r="J22" s="1">
        <v>480700.56298678252</v>
      </c>
      <c r="K22" s="2">
        <v>10.7</v>
      </c>
      <c r="L22" s="2">
        <v>4464</v>
      </c>
      <c r="M22" s="379">
        <v>0.23969534050179209</v>
      </c>
      <c r="N22" s="2">
        <v>17.8</v>
      </c>
      <c r="O22" s="2">
        <v>4525</v>
      </c>
      <c r="P22" s="379">
        <v>0.39337016574585637</v>
      </c>
    </row>
    <row r="23" spans="2:16" x14ac:dyDescent="0.2">
      <c r="B23" s="2" t="s">
        <v>192</v>
      </c>
      <c r="C23" s="2">
        <v>2</v>
      </c>
      <c r="D23" s="2">
        <v>38</v>
      </c>
      <c r="E23" s="2">
        <v>11</v>
      </c>
      <c r="F23" s="2">
        <v>45</v>
      </c>
      <c r="G23" s="1">
        <v>252069.50743118854</v>
      </c>
      <c r="H23" s="1">
        <v>1095.9543801356022</v>
      </c>
      <c r="I23" s="1">
        <v>890.4629338601768</v>
      </c>
      <c r="J23" s="1">
        <v>610280.22679260885</v>
      </c>
      <c r="K23" s="2">
        <v>10.4</v>
      </c>
      <c r="L23" s="2">
        <v>4476</v>
      </c>
      <c r="M23" s="379">
        <v>0.23235031277926721</v>
      </c>
      <c r="N23" s="2">
        <v>11.3</v>
      </c>
      <c r="O23" s="2">
        <v>4536</v>
      </c>
      <c r="P23" s="379">
        <v>0.24911816578483248</v>
      </c>
    </row>
    <row r="24" spans="2:16" x14ac:dyDescent="0.2">
      <c r="B24" s="2" t="s">
        <v>192</v>
      </c>
      <c r="C24" s="2">
        <v>2</v>
      </c>
      <c r="D24" s="2">
        <v>38</v>
      </c>
      <c r="E24" s="2">
        <v>14</v>
      </c>
      <c r="F24" s="2">
        <v>25</v>
      </c>
      <c r="G24" s="1">
        <v>252460.62072376956</v>
      </c>
      <c r="H24" s="1">
        <v>1105.7542082759901</v>
      </c>
      <c r="I24" s="1">
        <v>806.90171955274957</v>
      </c>
      <c r="J24" s="1">
        <v>618040.34266736731</v>
      </c>
      <c r="K24" s="2">
        <v>10.199999999999999</v>
      </c>
      <c r="L24" s="2">
        <v>4474</v>
      </c>
      <c r="M24" s="379">
        <v>0.2279839070183281</v>
      </c>
      <c r="N24" s="2">
        <v>11.1</v>
      </c>
      <c r="O24" s="2">
        <v>4527</v>
      </c>
      <c r="P24" s="379">
        <v>0.24519549370444002</v>
      </c>
    </row>
    <row r="25" spans="2:16" x14ac:dyDescent="0.2">
      <c r="B25" s="2" t="s">
        <v>192</v>
      </c>
      <c r="C25" s="2">
        <v>2</v>
      </c>
      <c r="D25" s="2">
        <v>38</v>
      </c>
      <c r="E25" s="2">
        <v>17</v>
      </c>
      <c r="F25" s="2">
        <v>5</v>
      </c>
      <c r="G25" s="1">
        <v>267561.62357504637</v>
      </c>
      <c r="H25" s="1">
        <v>1154.1391675619864</v>
      </c>
      <c r="I25" s="1">
        <v>908.17508267172684</v>
      </c>
      <c r="J25" s="1">
        <v>592143.36320588179</v>
      </c>
      <c r="K25" s="2">
        <v>10.3</v>
      </c>
      <c r="L25" s="2">
        <v>4513</v>
      </c>
      <c r="M25" s="379">
        <v>0.22822955905162867</v>
      </c>
      <c r="N25" s="2">
        <v>11.4</v>
      </c>
      <c r="O25" s="2">
        <v>4535</v>
      </c>
      <c r="P25" s="379">
        <v>0.25137816979051819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24ED-2C5A-324F-B993-8C63FFCD7144}">
  <dimension ref="A1:J87"/>
  <sheetViews>
    <sheetView topLeftCell="A4" workbookViewId="0">
      <selection activeCell="A70" sqref="A70:A87"/>
    </sheetView>
  </sheetViews>
  <sheetFormatPr baseColWidth="10" defaultRowHeight="13" x14ac:dyDescent="0.15"/>
  <cols>
    <col min="1" max="1" width="61.6640625" style="17" customWidth="1"/>
    <col min="2" max="256" width="8.83203125" style="17" customWidth="1"/>
    <col min="257" max="16384" width="10.83203125" style="17"/>
  </cols>
  <sheetData>
    <row r="1" spans="1:10" ht="12.75" customHeight="1" x14ac:dyDescent="0.15">
      <c r="A1" s="17" t="s">
        <v>50</v>
      </c>
      <c r="B1" s="17" t="s">
        <v>510</v>
      </c>
      <c r="C1" s="17" t="s">
        <v>509</v>
      </c>
      <c r="D1" s="17" t="s">
        <v>508</v>
      </c>
      <c r="E1" s="17" t="s">
        <v>507</v>
      </c>
      <c r="F1" s="17" t="s">
        <v>506</v>
      </c>
      <c r="G1" s="17" t="s">
        <v>505</v>
      </c>
      <c r="H1" s="17" t="s">
        <v>504</v>
      </c>
      <c r="I1" s="17" t="s">
        <v>503</v>
      </c>
      <c r="J1" s="17" t="s">
        <v>502</v>
      </c>
    </row>
    <row r="2" spans="1:10" ht="12.75" customHeight="1" x14ac:dyDescent="0.15">
      <c r="A2" s="17" t="s">
        <v>501</v>
      </c>
      <c r="B2" s="17">
        <v>0</v>
      </c>
      <c r="C2" s="17">
        <v>9</v>
      </c>
      <c r="D2" s="17">
        <v>9</v>
      </c>
      <c r="E2" s="17">
        <v>25</v>
      </c>
      <c r="F2" s="17" t="s">
        <v>496</v>
      </c>
      <c r="G2" s="17">
        <v>4454</v>
      </c>
      <c r="H2" s="17" t="s">
        <v>496</v>
      </c>
      <c r="I2" s="17">
        <v>4501</v>
      </c>
    </row>
    <row r="3" spans="1:10" ht="12.75" customHeight="1" x14ac:dyDescent="0.15">
      <c r="A3" s="17" t="s">
        <v>272</v>
      </c>
      <c r="B3" s="17">
        <v>4616</v>
      </c>
      <c r="C3" s="17">
        <v>4</v>
      </c>
      <c r="D3" s="17">
        <v>34</v>
      </c>
      <c r="E3" s="17">
        <v>110</v>
      </c>
      <c r="F3" s="17">
        <v>121</v>
      </c>
      <c r="G3" s="17">
        <v>4536</v>
      </c>
      <c r="H3" s="17">
        <v>235</v>
      </c>
      <c r="I3" s="17">
        <v>4518</v>
      </c>
    </row>
    <row r="4" spans="1:10" ht="12.75" customHeight="1" x14ac:dyDescent="0.15">
      <c r="A4" s="17" t="s">
        <v>275</v>
      </c>
      <c r="B4" s="17">
        <v>9670</v>
      </c>
      <c r="C4" s="17">
        <v>18</v>
      </c>
      <c r="D4" s="17">
        <v>227</v>
      </c>
      <c r="E4" s="17">
        <v>31</v>
      </c>
      <c r="F4" s="17">
        <v>54.6</v>
      </c>
      <c r="G4" s="17">
        <v>2215</v>
      </c>
      <c r="H4" s="17">
        <v>90.9</v>
      </c>
      <c r="I4" s="17">
        <v>1823</v>
      </c>
    </row>
    <row r="5" spans="1:10" ht="12.75" customHeight="1" x14ac:dyDescent="0.15">
      <c r="A5" s="17" t="s">
        <v>267</v>
      </c>
      <c r="B5" s="17">
        <v>13129</v>
      </c>
      <c r="C5" s="17">
        <v>103</v>
      </c>
      <c r="D5" s="17">
        <v>25</v>
      </c>
      <c r="E5" s="17">
        <v>83</v>
      </c>
      <c r="F5" s="17">
        <v>30.9</v>
      </c>
      <c r="G5" s="17">
        <v>4493</v>
      </c>
      <c r="H5" s="17">
        <v>67.5</v>
      </c>
      <c r="I5" s="17">
        <v>4501</v>
      </c>
    </row>
    <row r="6" spans="1:10" ht="12.75" customHeight="1" x14ac:dyDescent="0.15">
      <c r="A6" s="17" t="s">
        <v>269</v>
      </c>
      <c r="B6" s="17">
        <v>0</v>
      </c>
      <c r="C6" s="17">
        <v>0</v>
      </c>
      <c r="D6" s="17">
        <v>276</v>
      </c>
      <c r="E6" s="17">
        <v>58</v>
      </c>
      <c r="F6" s="17" t="s">
        <v>496</v>
      </c>
      <c r="G6" s="17" t="s">
        <v>496</v>
      </c>
      <c r="H6" s="17" t="s">
        <v>496</v>
      </c>
      <c r="I6" s="17" t="s">
        <v>496</v>
      </c>
    </row>
    <row r="7" spans="1:10" ht="12.75" customHeight="1" x14ac:dyDescent="0.15">
      <c r="A7" s="17" t="s">
        <v>263</v>
      </c>
      <c r="B7" s="17">
        <v>20243</v>
      </c>
      <c r="C7" s="17">
        <v>150</v>
      </c>
      <c r="D7" s="17">
        <v>43</v>
      </c>
      <c r="E7" s="17">
        <v>35</v>
      </c>
      <c r="F7" s="17">
        <v>16.8</v>
      </c>
      <c r="G7" s="17">
        <v>4498</v>
      </c>
      <c r="H7" s="17">
        <v>36.4</v>
      </c>
      <c r="I7" s="17">
        <v>4556</v>
      </c>
    </row>
    <row r="8" spans="1:10" ht="12.75" customHeight="1" x14ac:dyDescent="0.15">
      <c r="A8" s="17" t="s">
        <v>266</v>
      </c>
      <c r="B8" s="17">
        <v>3</v>
      </c>
      <c r="C8" s="17">
        <v>0</v>
      </c>
      <c r="D8" s="17">
        <v>250</v>
      </c>
      <c r="E8" s="17">
        <v>41</v>
      </c>
      <c r="F8" s="17">
        <v>51</v>
      </c>
      <c r="G8" s="17" t="s">
        <v>496</v>
      </c>
      <c r="H8" s="17">
        <v>73.099999999999994</v>
      </c>
      <c r="I8" s="17" t="s">
        <v>496</v>
      </c>
    </row>
    <row r="9" spans="1:10" ht="12.75" customHeight="1" x14ac:dyDescent="0.15">
      <c r="A9" s="17" t="s">
        <v>258</v>
      </c>
      <c r="B9" s="17">
        <v>21348</v>
      </c>
      <c r="C9" s="17">
        <v>107</v>
      </c>
      <c r="D9" s="17">
        <v>61</v>
      </c>
      <c r="E9" s="17">
        <v>43</v>
      </c>
      <c r="F9" s="17">
        <v>10.3</v>
      </c>
      <c r="G9" s="17">
        <v>4525</v>
      </c>
      <c r="H9" s="17">
        <v>14.5</v>
      </c>
      <c r="I9" s="17">
        <v>4563</v>
      </c>
    </row>
    <row r="10" spans="1:10" ht="12.75" customHeight="1" x14ac:dyDescent="0.15">
      <c r="A10" s="17" t="s">
        <v>262</v>
      </c>
      <c r="B10" s="17">
        <v>2</v>
      </c>
      <c r="C10" s="17">
        <v>0</v>
      </c>
      <c r="D10" s="17">
        <v>197</v>
      </c>
      <c r="E10" s="17">
        <v>43</v>
      </c>
      <c r="F10" s="17">
        <v>55.1</v>
      </c>
      <c r="G10" s="17" t="s">
        <v>496</v>
      </c>
      <c r="H10" s="17">
        <v>77.099999999999994</v>
      </c>
      <c r="I10" s="17" t="s">
        <v>496</v>
      </c>
    </row>
    <row r="11" spans="1:10" ht="12.75" customHeight="1" x14ac:dyDescent="0.15">
      <c r="A11" s="17" t="s">
        <v>253</v>
      </c>
      <c r="B11" s="17">
        <v>22170</v>
      </c>
      <c r="C11" s="17">
        <v>62</v>
      </c>
      <c r="D11" s="17">
        <v>50</v>
      </c>
      <c r="E11" s="17">
        <v>46</v>
      </c>
      <c r="F11" s="17">
        <v>10.199999999999999</v>
      </c>
      <c r="G11" s="17">
        <v>4508</v>
      </c>
      <c r="H11" s="17">
        <v>11.1</v>
      </c>
      <c r="I11" s="17">
        <v>4536</v>
      </c>
    </row>
    <row r="12" spans="1:10" ht="12.75" customHeight="1" x14ac:dyDescent="0.15">
      <c r="A12" s="17" t="s">
        <v>257</v>
      </c>
      <c r="B12" s="17">
        <v>3</v>
      </c>
      <c r="C12" s="17">
        <v>0</v>
      </c>
      <c r="D12" s="17">
        <v>302</v>
      </c>
      <c r="E12" s="17">
        <v>42</v>
      </c>
      <c r="F12" s="17">
        <v>39</v>
      </c>
      <c r="G12" s="17" t="s">
        <v>496</v>
      </c>
      <c r="H12" s="17">
        <v>59.5</v>
      </c>
      <c r="I12" s="17" t="s">
        <v>496</v>
      </c>
    </row>
    <row r="13" spans="1:10" ht="12.75" customHeight="1" x14ac:dyDescent="0.15">
      <c r="A13" s="17" t="s">
        <v>500</v>
      </c>
      <c r="B13" s="17">
        <v>24388</v>
      </c>
      <c r="C13" s="17">
        <v>47</v>
      </c>
      <c r="D13" s="17">
        <v>47</v>
      </c>
      <c r="E13" s="17">
        <v>46</v>
      </c>
      <c r="F13" s="17">
        <v>10.4</v>
      </c>
      <c r="G13" s="17">
        <v>4273</v>
      </c>
      <c r="H13" s="17">
        <v>10.7</v>
      </c>
      <c r="I13" s="17">
        <v>4452</v>
      </c>
    </row>
    <row r="14" spans="1:10" ht="12.75" customHeight="1" x14ac:dyDescent="0.15">
      <c r="A14" s="17" t="s">
        <v>499</v>
      </c>
      <c r="B14" s="17">
        <v>3</v>
      </c>
      <c r="C14" s="17">
        <v>0</v>
      </c>
      <c r="D14" s="17">
        <v>358</v>
      </c>
      <c r="E14" s="17">
        <v>57</v>
      </c>
      <c r="F14" s="17">
        <v>46.3</v>
      </c>
      <c r="G14" s="17" t="s">
        <v>496</v>
      </c>
      <c r="H14" s="17">
        <v>65.599999999999994</v>
      </c>
      <c r="I14" s="17" t="s">
        <v>496</v>
      </c>
    </row>
    <row r="15" spans="1:10" ht="12.75" customHeight="1" x14ac:dyDescent="0.15">
      <c r="A15" s="17" t="s">
        <v>298</v>
      </c>
      <c r="B15" s="17">
        <v>3554</v>
      </c>
      <c r="C15" s="17">
        <v>0</v>
      </c>
      <c r="D15" s="17">
        <v>89</v>
      </c>
      <c r="E15" s="17">
        <v>107</v>
      </c>
      <c r="F15" s="17">
        <v>152</v>
      </c>
      <c r="G15" s="17">
        <v>4474</v>
      </c>
      <c r="H15" s="17">
        <v>294</v>
      </c>
      <c r="I15" s="17">
        <v>4518</v>
      </c>
    </row>
    <row r="16" spans="1:10" ht="12.75" customHeight="1" x14ac:dyDescent="0.15">
      <c r="A16" s="17" t="s">
        <v>301</v>
      </c>
      <c r="B16" s="17">
        <v>1</v>
      </c>
      <c r="C16" s="17">
        <v>0</v>
      </c>
      <c r="D16" s="17">
        <v>192</v>
      </c>
      <c r="E16" s="17">
        <v>19</v>
      </c>
      <c r="F16" s="17">
        <v>45.7</v>
      </c>
      <c r="G16" s="17" t="s">
        <v>496</v>
      </c>
      <c r="H16" s="17">
        <v>61.1</v>
      </c>
      <c r="I16" s="17" t="s">
        <v>496</v>
      </c>
    </row>
    <row r="17" spans="1:9" ht="12.75" customHeight="1" x14ac:dyDescent="0.15">
      <c r="A17" s="17" t="s">
        <v>293</v>
      </c>
      <c r="B17" s="17">
        <v>10381</v>
      </c>
      <c r="C17" s="17">
        <v>43</v>
      </c>
      <c r="D17" s="17">
        <v>78</v>
      </c>
      <c r="E17" s="17">
        <v>42</v>
      </c>
      <c r="F17" s="17">
        <v>40.9</v>
      </c>
      <c r="G17" s="17">
        <v>4472</v>
      </c>
      <c r="H17" s="17">
        <v>93.9</v>
      </c>
      <c r="I17" s="17">
        <v>4537</v>
      </c>
    </row>
    <row r="18" spans="1:9" ht="12.75" customHeight="1" x14ac:dyDescent="0.15">
      <c r="A18" s="17" t="s">
        <v>296</v>
      </c>
      <c r="B18" s="17">
        <v>0</v>
      </c>
      <c r="C18" s="17">
        <v>0</v>
      </c>
      <c r="D18" s="17">
        <v>216</v>
      </c>
      <c r="E18" s="17">
        <v>33</v>
      </c>
      <c r="F18" s="17" t="s">
        <v>496</v>
      </c>
      <c r="G18" s="17" t="s">
        <v>496</v>
      </c>
      <c r="H18" s="17" t="s">
        <v>496</v>
      </c>
      <c r="I18" s="17" t="s">
        <v>496</v>
      </c>
    </row>
    <row r="19" spans="1:9" ht="12.75" customHeight="1" x14ac:dyDescent="0.15">
      <c r="A19" s="17" t="s">
        <v>287</v>
      </c>
      <c r="B19" s="17">
        <v>26331</v>
      </c>
      <c r="C19" s="17">
        <v>157</v>
      </c>
      <c r="D19" s="17">
        <v>57</v>
      </c>
      <c r="E19" s="17">
        <v>23</v>
      </c>
      <c r="F19" s="17">
        <v>13.2</v>
      </c>
      <c r="G19" s="17">
        <v>4444</v>
      </c>
      <c r="H19" s="17">
        <v>29.5</v>
      </c>
      <c r="I19" s="17">
        <v>4500</v>
      </c>
    </row>
    <row r="20" spans="1:9" ht="12.75" customHeight="1" x14ac:dyDescent="0.15">
      <c r="A20" s="17" t="s">
        <v>291</v>
      </c>
      <c r="B20" s="17">
        <v>3</v>
      </c>
      <c r="C20" s="17">
        <v>0</v>
      </c>
      <c r="D20" s="17">
        <v>260</v>
      </c>
      <c r="E20" s="17">
        <v>36</v>
      </c>
      <c r="F20" s="17">
        <v>44.8</v>
      </c>
      <c r="G20" s="17" t="s">
        <v>496</v>
      </c>
      <c r="H20" s="17">
        <v>81</v>
      </c>
      <c r="I20" s="17" t="s">
        <v>496</v>
      </c>
    </row>
    <row r="21" spans="1:9" ht="12.75" customHeight="1" x14ac:dyDescent="0.15">
      <c r="A21" s="17" t="s">
        <v>498</v>
      </c>
      <c r="B21" s="17">
        <v>0</v>
      </c>
      <c r="C21" s="17">
        <v>0</v>
      </c>
      <c r="D21" s="17">
        <v>0</v>
      </c>
      <c r="E21" s="17">
        <v>0</v>
      </c>
      <c r="F21" s="17" t="s">
        <v>496</v>
      </c>
      <c r="G21" s="17" t="s">
        <v>496</v>
      </c>
      <c r="H21" s="17" t="s">
        <v>496</v>
      </c>
      <c r="I21" s="17" t="s">
        <v>496</v>
      </c>
    </row>
    <row r="22" spans="1:9" ht="12.75" customHeight="1" x14ac:dyDescent="0.15">
      <c r="A22" s="17" t="s">
        <v>283</v>
      </c>
      <c r="B22" s="17">
        <v>24383</v>
      </c>
      <c r="C22" s="17">
        <v>92</v>
      </c>
      <c r="D22" s="17">
        <v>75</v>
      </c>
      <c r="E22" s="17">
        <v>31</v>
      </c>
      <c r="F22" s="17">
        <v>10.4</v>
      </c>
      <c r="G22" s="17">
        <v>4521</v>
      </c>
      <c r="H22" s="17">
        <v>10.7</v>
      </c>
      <c r="I22" s="17">
        <v>4518</v>
      </c>
    </row>
    <row r="23" spans="1:9" ht="12.75" customHeight="1" x14ac:dyDescent="0.15">
      <c r="A23" s="17" t="s">
        <v>286</v>
      </c>
      <c r="B23" s="17">
        <v>1</v>
      </c>
      <c r="C23" s="17">
        <v>0</v>
      </c>
      <c r="D23" s="17">
        <v>357</v>
      </c>
      <c r="E23" s="17">
        <v>61</v>
      </c>
      <c r="F23" s="17">
        <v>29</v>
      </c>
      <c r="G23" s="17" t="s">
        <v>496</v>
      </c>
      <c r="H23" s="17">
        <v>55.2</v>
      </c>
      <c r="I23" s="17" t="s">
        <v>496</v>
      </c>
    </row>
    <row r="24" spans="1:9" ht="12.75" customHeight="1" x14ac:dyDescent="0.15">
      <c r="A24" s="17" t="s">
        <v>281</v>
      </c>
      <c r="B24" s="17">
        <v>21320</v>
      </c>
      <c r="C24" s="17">
        <v>108</v>
      </c>
      <c r="D24" s="17">
        <v>89</v>
      </c>
      <c r="E24" s="17">
        <v>19</v>
      </c>
      <c r="F24" s="17">
        <v>10.199999999999999</v>
      </c>
      <c r="G24" s="17">
        <v>4437</v>
      </c>
      <c r="H24" s="17">
        <v>10.3</v>
      </c>
      <c r="I24" s="17">
        <v>4538</v>
      </c>
    </row>
    <row r="25" spans="1:9" ht="12.75" customHeight="1" x14ac:dyDescent="0.15">
      <c r="A25" s="17" t="s">
        <v>282</v>
      </c>
      <c r="B25" s="17">
        <v>3</v>
      </c>
      <c r="C25" s="17">
        <v>0</v>
      </c>
      <c r="D25" s="17">
        <v>391</v>
      </c>
      <c r="E25" s="17">
        <v>64</v>
      </c>
      <c r="F25" s="17">
        <v>33.1</v>
      </c>
      <c r="G25" s="17" t="s">
        <v>496</v>
      </c>
      <c r="H25" s="17">
        <v>61.7</v>
      </c>
      <c r="I25" s="17" t="s">
        <v>496</v>
      </c>
    </row>
    <row r="26" spans="1:9" ht="12.75" customHeight="1" x14ac:dyDescent="0.15">
      <c r="A26" s="17" t="s">
        <v>497</v>
      </c>
      <c r="B26" s="17">
        <v>22754</v>
      </c>
      <c r="C26" s="17">
        <v>84</v>
      </c>
      <c r="D26" s="17">
        <v>78</v>
      </c>
      <c r="E26" s="17">
        <v>32</v>
      </c>
      <c r="F26" s="17">
        <v>10.4</v>
      </c>
      <c r="G26" s="17">
        <v>4496</v>
      </c>
      <c r="H26" s="17">
        <v>9.6</v>
      </c>
      <c r="I26" s="17">
        <v>4494</v>
      </c>
    </row>
    <row r="27" spans="1:9" ht="12.75" customHeight="1" x14ac:dyDescent="0.15">
      <c r="A27" s="17" t="s">
        <v>250</v>
      </c>
      <c r="B27" s="17">
        <v>4</v>
      </c>
      <c r="C27" s="17">
        <v>0</v>
      </c>
      <c r="D27" s="17">
        <v>288</v>
      </c>
      <c r="E27" s="17">
        <v>60</v>
      </c>
      <c r="F27" s="17">
        <v>34.200000000000003</v>
      </c>
      <c r="G27" s="17" t="s">
        <v>496</v>
      </c>
      <c r="H27" s="17">
        <v>55.9</v>
      </c>
      <c r="I27" s="17" t="s">
        <v>496</v>
      </c>
    </row>
    <row r="28" spans="1:9" ht="12.75" customHeight="1" x14ac:dyDescent="0.15">
      <c r="A28" s="17" t="s">
        <v>325</v>
      </c>
      <c r="B28" s="17">
        <v>9360</v>
      </c>
      <c r="C28" s="17">
        <v>25</v>
      </c>
      <c r="D28" s="17">
        <v>151</v>
      </c>
      <c r="E28" s="17">
        <v>24</v>
      </c>
      <c r="F28" s="17">
        <v>39.1</v>
      </c>
      <c r="G28" s="17">
        <v>4472</v>
      </c>
      <c r="H28" s="17">
        <v>96.6</v>
      </c>
      <c r="I28" s="17">
        <v>4529</v>
      </c>
    </row>
    <row r="29" spans="1:9" ht="12.75" customHeight="1" x14ac:dyDescent="0.15">
      <c r="A29" s="17" t="s">
        <v>328</v>
      </c>
      <c r="B29" s="17">
        <v>0</v>
      </c>
      <c r="C29" s="17">
        <v>0</v>
      </c>
      <c r="D29" s="17">
        <v>201</v>
      </c>
      <c r="E29" s="17">
        <v>20</v>
      </c>
      <c r="F29" s="17" t="s">
        <v>496</v>
      </c>
      <c r="G29" s="17" t="s">
        <v>496</v>
      </c>
      <c r="H29" s="17" t="s">
        <v>496</v>
      </c>
      <c r="I29" s="17" t="s">
        <v>496</v>
      </c>
    </row>
    <row r="30" spans="1:9" ht="12.75" customHeight="1" x14ac:dyDescent="0.15">
      <c r="A30" s="17" t="s">
        <v>320</v>
      </c>
      <c r="B30" s="17">
        <v>25371</v>
      </c>
      <c r="C30" s="17">
        <v>126</v>
      </c>
      <c r="D30" s="17">
        <v>96</v>
      </c>
      <c r="E30" s="17">
        <v>33</v>
      </c>
      <c r="F30" s="17">
        <v>14.1</v>
      </c>
      <c r="G30" s="17">
        <v>4493</v>
      </c>
      <c r="H30" s="17">
        <v>34.299999999999997</v>
      </c>
      <c r="I30" s="17">
        <v>4523</v>
      </c>
    </row>
    <row r="31" spans="1:9" ht="12.75" customHeight="1" x14ac:dyDescent="0.15">
      <c r="A31" s="17" t="s">
        <v>323</v>
      </c>
      <c r="B31" s="17">
        <v>0</v>
      </c>
      <c r="C31" s="17">
        <v>0</v>
      </c>
      <c r="D31" s="17">
        <v>240</v>
      </c>
      <c r="E31" s="17">
        <v>27</v>
      </c>
      <c r="F31" s="17" t="s">
        <v>496</v>
      </c>
      <c r="G31" s="17" t="s">
        <v>496</v>
      </c>
      <c r="H31" s="17" t="s">
        <v>496</v>
      </c>
      <c r="I31" s="17" t="s">
        <v>496</v>
      </c>
    </row>
    <row r="32" spans="1:9" ht="12.75" customHeight="1" x14ac:dyDescent="0.15">
      <c r="A32" s="17" t="s">
        <v>314</v>
      </c>
      <c r="B32" s="17">
        <v>24953</v>
      </c>
      <c r="C32" s="17">
        <v>184</v>
      </c>
      <c r="D32" s="17">
        <v>87</v>
      </c>
      <c r="E32" s="17">
        <v>18</v>
      </c>
      <c r="F32" s="17">
        <v>10.7</v>
      </c>
      <c r="G32" s="17">
        <v>4464</v>
      </c>
      <c r="H32" s="17">
        <v>17.8</v>
      </c>
      <c r="I32" s="17">
        <v>4525</v>
      </c>
    </row>
    <row r="33" spans="1:10" ht="12.75" customHeight="1" x14ac:dyDescent="0.15">
      <c r="A33" s="17" t="s">
        <v>319</v>
      </c>
      <c r="B33" s="17">
        <v>22</v>
      </c>
      <c r="C33" s="17">
        <v>0</v>
      </c>
      <c r="D33" s="17">
        <v>221</v>
      </c>
      <c r="E33" s="17">
        <v>27</v>
      </c>
      <c r="F33" s="17">
        <v>44.5</v>
      </c>
      <c r="G33" s="17" t="s">
        <v>496</v>
      </c>
      <c r="H33" s="17">
        <v>66.8</v>
      </c>
      <c r="I33" s="17" t="s">
        <v>496</v>
      </c>
    </row>
    <row r="34" spans="1:10" ht="12.75" customHeight="1" x14ac:dyDescent="0.15">
      <c r="A34" s="17" t="s">
        <v>310</v>
      </c>
      <c r="B34" s="17">
        <v>33120</v>
      </c>
      <c r="C34" s="17">
        <v>144</v>
      </c>
      <c r="D34" s="17">
        <v>87</v>
      </c>
      <c r="E34" s="17">
        <v>30</v>
      </c>
      <c r="F34" s="17">
        <v>10.4</v>
      </c>
      <c r="G34" s="17">
        <v>4476</v>
      </c>
      <c r="H34" s="17">
        <v>11.3</v>
      </c>
      <c r="I34" s="17">
        <v>4536</v>
      </c>
    </row>
    <row r="35" spans="1:10" ht="12.75" customHeight="1" x14ac:dyDescent="0.15">
      <c r="A35" s="17" t="s">
        <v>312</v>
      </c>
      <c r="B35" s="17">
        <v>2</v>
      </c>
      <c r="C35" s="17">
        <v>0</v>
      </c>
      <c r="D35" s="17">
        <v>262</v>
      </c>
      <c r="E35" s="17">
        <v>39</v>
      </c>
      <c r="F35" s="17">
        <v>78.599999999999994</v>
      </c>
      <c r="G35" s="17" t="s">
        <v>496</v>
      </c>
      <c r="H35" s="17">
        <v>105</v>
      </c>
      <c r="I35" s="17" t="s">
        <v>496</v>
      </c>
    </row>
    <row r="36" spans="1:10" ht="12.75" customHeight="1" x14ac:dyDescent="0.15">
      <c r="A36" s="17" t="s">
        <v>308</v>
      </c>
      <c r="B36" s="17">
        <v>25343</v>
      </c>
      <c r="C36" s="17">
        <v>111</v>
      </c>
      <c r="D36" s="17">
        <v>61</v>
      </c>
      <c r="E36" s="17">
        <v>20</v>
      </c>
      <c r="F36" s="17">
        <v>10.199999999999999</v>
      </c>
      <c r="G36" s="17">
        <v>4474</v>
      </c>
      <c r="H36" s="17">
        <v>11.1</v>
      </c>
      <c r="I36" s="17">
        <v>4527</v>
      </c>
    </row>
    <row r="37" spans="1:10" ht="12.75" customHeight="1" x14ac:dyDescent="0.15">
      <c r="A37" s="17" t="s">
        <v>306</v>
      </c>
      <c r="B37" s="17">
        <v>3</v>
      </c>
      <c r="C37" s="17">
        <v>0</v>
      </c>
      <c r="D37" s="17">
        <v>269</v>
      </c>
      <c r="E37" s="17">
        <v>42</v>
      </c>
      <c r="F37" s="17">
        <v>35.4</v>
      </c>
      <c r="G37" s="17" t="s">
        <v>496</v>
      </c>
      <c r="H37" s="17">
        <v>59.4</v>
      </c>
      <c r="I37" s="17" t="s">
        <v>496</v>
      </c>
    </row>
    <row r="38" spans="1:10" ht="12.75" customHeight="1" x14ac:dyDescent="0.15">
      <c r="A38" s="17" t="s">
        <v>249</v>
      </c>
      <c r="B38" s="17">
        <v>28283</v>
      </c>
      <c r="C38" s="17">
        <v>122</v>
      </c>
      <c r="D38" s="17">
        <v>73</v>
      </c>
      <c r="E38" s="17">
        <v>23</v>
      </c>
      <c r="F38" s="17">
        <v>10.3</v>
      </c>
      <c r="G38" s="17">
        <v>4513</v>
      </c>
      <c r="H38" s="17">
        <v>11.4</v>
      </c>
      <c r="I38" s="17">
        <v>4535</v>
      </c>
    </row>
    <row r="39" spans="1:10" ht="12.75" customHeight="1" x14ac:dyDescent="0.15">
      <c r="A39" s="17" t="s">
        <v>252</v>
      </c>
      <c r="B39" s="17">
        <v>9</v>
      </c>
      <c r="C39" s="17">
        <v>0</v>
      </c>
      <c r="D39" s="17">
        <v>307</v>
      </c>
      <c r="E39" s="17">
        <v>53</v>
      </c>
      <c r="F39" s="17">
        <v>39.5</v>
      </c>
      <c r="G39" s="17" t="s">
        <v>496</v>
      </c>
      <c r="H39" s="17">
        <v>85.3</v>
      </c>
      <c r="I39" s="17" t="s">
        <v>496</v>
      </c>
    </row>
    <row r="40" spans="1:10" ht="12.75" customHeight="1" x14ac:dyDescent="0.15">
      <c r="A40" s="17" t="s">
        <v>379</v>
      </c>
      <c r="J40" s="17">
        <v>16799</v>
      </c>
    </row>
    <row r="41" spans="1:10" ht="12.75" customHeight="1" x14ac:dyDescent="0.15">
      <c r="A41" s="17" t="s">
        <v>372</v>
      </c>
      <c r="J41" s="17">
        <v>25285</v>
      </c>
    </row>
    <row r="42" spans="1:10" ht="12.75" customHeight="1" x14ac:dyDescent="0.15">
      <c r="A42" s="17" t="s">
        <v>358</v>
      </c>
      <c r="J42" s="17">
        <v>34456</v>
      </c>
    </row>
    <row r="43" spans="1:10" ht="12.75" customHeight="1" x14ac:dyDescent="0.15">
      <c r="A43" s="17" t="s">
        <v>356</v>
      </c>
      <c r="J43" s="17">
        <v>45107</v>
      </c>
    </row>
    <row r="44" spans="1:10" ht="12.75" customHeight="1" x14ac:dyDescent="0.15">
      <c r="A44" s="17" t="s">
        <v>354</v>
      </c>
      <c r="J44" s="17">
        <v>43398</v>
      </c>
    </row>
    <row r="45" spans="1:10" ht="12.75" customHeight="1" x14ac:dyDescent="0.15">
      <c r="A45" s="17" t="s">
        <v>352</v>
      </c>
      <c r="J45" s="17">
        <v>43867</v>
      </c>
    </row>
    <row r="46" spans="1:10" ht="12.75" customHeight="1" x14ac:dyDescent="0.15">
      <c r="A46" s="17" t="s">
        <v>381</v>
      </c>
      <c r="J46" s="17">
        <v>17044</v>
      </c>
    </row>
    <row r="47" spans="1:10" ht="12.75" customHeight="1" x14ac:dyDescent="0.15">
      <c r="A47" s="17" t="s">
        <v>374</v>
      </c>
      <c r="J47" s="17">
        <v>24401</v>
      </c>
    </row>
    <row r="48" spans="1:10" ht="12.75" customHeight="1" x14ac:dyDescent="0.15">
      <c r="A48" s="17" t="s">
        <v>366</v>
      </c>
      <c r="J48" s="17">
        <v>36067</v>
      </c>
    </row>
    <row r="49" spans="1:10" ht="12.75" customHeight="1" x14ac:dyDescent="0.15">
      <c r="A49" s="17" t="s">
        <v>364</v>
      </c>
      <c r="J49" s="17">
        <v>43709</v>
      </c>
    </row>
    <row r="50" spans="1:10" ht="12.75" customHeight="1" x14ac:dyDescent="0.15">
      <c r="A50" s="17" t="s">
        <v>362</v>
      </c>
      <c r="J50" s="17">
        <v>42124</v>
      </c>
    </row>
    <row r="51" spans="1:10" ht="12.75" customHeight="1" x14ac:dyDescent="0.15">
      <c r="A51" s="17" t="s">
        <v>360</v>
      </c>
      <c r="J51" s="17">
        <v>44398</v>
      </c>
    </row>
    <row r="52" spans="1:10" ht="12.75" customHeight="1" x14ac:dyDescent="0.15">
      <c r="A52" s="17" t="s">
        <v>382</v>
      </c>
      <c r="J52" s="17">
        <v>23125</v>
      </c>
    </row>
    <row r="53" spans="1:10" ht="12.75" customHeight="1" x14ac:dyDescent="0.15">
      <c r="A53" s="17" t="s">
        <v>376</v>
      </c>
      <c r="J53" s="17">
        <v>33016</v>
      </c>
    </row>
    <row r="54" spans="1:10" ht="12.75" customHeight="1" x14ac:dyDescent="0.15">
      <c r="A54" s="17" t="s">
        <v>371</v>
      </c>
      <c r="J54" s="17">
        <v>36671</v>
      </c>
    </row>
    <row r="55" spans="1:10" ht="12.75" customHeight="1" x14ac:dyDescent="0.15">
      <c r="A55" s="17" t="s">
        <v>370</v>
      </c>
      <c r="J55" s="17">
        <v>43421</v>
      </c>
    </row>
    <row r="56" spans="1:10" ht="12.75" customHeight="1" x14ac:dyDescent="0.15">
      <c r="A56" s="17" t="s">
        <v>369</v>
      </c>
      <c r="J56" s="17">
        <v>45179</v>
      </c>
    </row>
    <row r="57" spans="1:10" ht="12.75" customHeight="1" x14ac:dyDescent="0.15">
      <c r="A57" s="17" t="s">
        <v>368</v>
      </c>
      <c r="J57" s="17">
        <v>46226</v>
      </c>
    </row>
    <row r="58" spans="1:10" ht="12.75" customHeight="1" x14ac:dyDescent="0.15">
      <c r="A58" s="17" t="s">
        <v>464</v>
      </c>
    </row>
    <row r="59" spans="1:10" ht="12.75" customHeight="1" x14ac:dyDescent="0.15">
      <c r="A59" s="17" t="s">
        <v>495</v>
      </c>
    </row>
    <row r="70" spans="1:1" x14ac:dyDescent="0.15">
      <c r="A70" s="17" t="s">
        <v>272</v>
      </c>
    </row>
    <row r="71" spans="1:1" x14ac:dyDescent="0.15">
      <c r="A71" s="17" t="s">
        <v>267</v>
      </c>
    </row>
    <row r="72" spans="1:1" x14ac:dyDescent="0.15">
      <c r="A72" s="17" t="s">
        <v>263</v>
      </c>
    </row>
    <row r="73" spans="1:1" x14ac:dyDescent="0.15">
      <c r="A73" s="17" t="s">
        <v>258</v>
      </c>
    </row>
    <row r="74" spans="1:1" x14ac:dyDescent="0.15">
      <c r="A74" s="17" t="s">
        <v>253</v>
      </c>
    </row>
    <row r="75" spans="1:1" x14ac:dyDescent="0.15">
      <c r="A75" s="17" t="s">
        <v>500</v>
      </c>
    </row>
    <row r="76" spans="1:1" x14ac:dyDescent="0.15">
      <c r="A76" s="17" t="s">
        <v>298</v>
      </c>
    </row>
    <row r="77" spans="1:1" x14ac:dyDescent="0.15">
      <c r="A77" s="17" t="s">
        <v>293</v>
      </c>
    </row>
    <row r="78" spans="1:1" x14ac:dyDescent="0.15">
      <c r="A78" s="17" t="s">
        <v>287</v>
      </c>
    </row>
    <row r="79" spans="1:1" x14ac:dyDescent="0.15">
      <c r="A79" s="17" t="s">
        <v>283</v>
      </c>
    </row>
    <row r="80" spans="1:1" x14ac:dyDescent="0.15">
      <c r="A80" s="17" t="s">
        <v>281</v>
      </c>
    </row>
    <row r="81" spans="1:1" x14ac:dyDescent="0.15">
      <c r="A81" s="17" t="s">
        <v>497</v>
      </c>
    </row>
    <row r="82" spans="1:1" x14ac:dyDescent="0.15">
      <c r="A82" s="17" t="s">
        <v>325</v>
      </c>
    </row>
    <row r="83" spans="1:1" x14ac:dyDescent="0.15">
      <c r="A83" s="17" t="s">
        <v>320</v>
      </c>
    </row>
    <row r="84" spans="1:1" x14ac:dyDescent="0.15">
      <c r="A84" s="17" t="s">
        <v>314</v>
      </c>
    </row>
    <row r="85" spans="1:1" x14ac:dyDescent="0.15">
      <c r="A85" s="17" t="s">
        <v>310</v>
      </c>
    </row>
    <row r="86" spans="1:1" x14ac:dyDescent="0.15">
      <c r="A86" s="17" t="s">
        <v>308</v>
      </c>
    </row>
    <row r="87" spans="1:1" x14ac:dyDescent="0.15">
      <c r="A87" s="17" t="s">
        <v>249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2C8D-7198-E14B-A5FA-AFE45778D723}">
  <dimension ref="A2:E92"/>
  <sheetViews>
    <sheetView workbookViewId="0">
      <selection activeCell="A7" sqref="A1:XFD7"/>
    </sheetView>
  </sheetViews>
  <sheetFormatPr baseColWidth="10" defaultRowHeight="16" x14ac:dyDescent="0.2"/>
  <cols>
    <col min="1" max="1" width="39.6640625" customWidth="1"/>
    <col min="3" max="3" width="46.83203125" customWidth="1"/>
  </cols>
  <sheetData>
    <row r="2" spans="1:2" x14ac:dyDescent="0.2">
      <c r="A2" t="s">
        <v>391</v>
      </c>
      <c r="B2">
        <v>109.64699999999999</v>
      </c>
    </row>
    <row r="3" spans="1:2" x14ac:dyDescent="0.2">
      <c r="A3" t="s">
        <v>393</v>
      </c>
      <c r="B3">
        <v>100.232</v>
      </c>
    </row>
    <row r="4" spans="1:2" x14ac:dyDescent="0.2">
      <c r="A4" t="s">
        <v>395</v>
      </c>
      <c r="B4">
        <v>100.7685</v>
      </c>
    </row>
    <row r="5" spans="1:2" x14ac:dyDescent="0.2">
      <c r="A5" t="s">
        <v>397</v>
      </c>
      <c r="B5">
        <v>100.53749999999999</v>
      </c>
    </row>
    <row r="6" spans="1:2" x14ac:dyDescent="0.2">
      <c r="A6" t="s">
        <v>399</v>
      </c>
      <c r="B6">
        <v>104.331</v>
      </c>
    </row>
    <row r="7" spans="1:2" x14ac:dyDescent="0.2">
      <c r="A7" t="s">
        <v>401</v>
      </c>
      <c r="B7">
        <v>99.576999999999998</v>
      </c>
    </row>
    <row r="8" spans="1:2" x14ac:dyDescent="0.2">
      <c r="A8" t="s">
        <v>403</v>
      </c>
      <c r="B8">
        <v>101.7025</v>
      </c>
    </row>
    <row r="9" spans="1:2" x14ac:dyDescent="0.2">
      <c r="A9" t="s">
        <v>405</v>
      </c>
      <c r="B9">
        <v>98.912000000000006</v>
      </c>
    </row>
    <row r="10" spans="1:2" x14ac:dyDescent="0.2">
      <c r="A10" t="s">
        <v>407</v>
      </c>
      <c r="B10">
        <v>100.83799999999999</v>
      </c>
    </row>
    <row r="11" spans="1:2" x14ac:dyDescent="0.2">
      <c r="A11" t="s">
        <v>409</v>
      </c>
      <c r="B11">
        <v>101.6485</v>
      </c>
    </row>
    <row r="12" spans="1:2" x14ac:dyDescent="0.2">
      <c r="A12" t="s">
        <v>411</v>
      </c>
      <c r="B12">
        <v>101.09399999999999</v>
      </c>
    </row>
    <row r="13" spans="1:2" x14ac:dyDescent="0.2">
      <c r="A13" t="s">
        <v>413</v>
      </c>
      <c r="B13">
        <v>100.072</v>
      </c>
    </row>
    <row r="14" spans="1:2" x14ac:dyDescent="0.2">
      <c r="A14" t="s">
        <v>415</v>
      </c>
      <c r="B14">
        <v>107.5035</v>
      </c>
    </row>
    <row r="15" spans="1:2" x14ac:dyDescent="0.2">
      <c r="A15" t="s">
        <v>417</v>
      </c>
      <c r="B15">
        <v>102.09050000000001</v>
      </c>
    </row>
    <row r="16" spans="1:2" x14ac:dyDescent="0.2">
      <c r="A16" t="s">
        <v>419</v>
      </c>
      <c r="B16">
        <v>133.62599999999998</v>
      </c>
    </row>
    <row r="17" spans="1:2" x14ac:dyDescent="0.2">
      <c r="A17" t="s">
        <v>421</v>
      </c>
      <c r="B17">
        <v>100.86349999999999</v>
      </c>
    </row>
    <row r="18" spans="1:2" x14ac:dyDescent="0.2">
      <c r="A18" t="s">
        <v>423</v>
      </c>
      <c r="B18">
        <v>102.104</v>
      </c>
    </row>
    <row r="19" spans="1:2" x14ac:dyDescent="0.2">
      <c r="A19" t="s">
        <v>425</v>
      </c>
      <c r="B19">
        <v>99.877499999999998</v>
      </c>
    </row>
    <row r="21" spans="1:2" x14ac:dyDescent="0.2">
      <c r="A21" t="s">
        <v>392</v>
      </c>
      <c r="B21">
        <v>205.31900000000002</v>
      </c>
    </row>
    <row r="22" spans="1:2" x14ac:dyDescent="0.2">
      <c r="A22" t="s">
        <v>394</v>
      </c>
      <c r="B22">
        <v>196.24600000000001</v>
      </c>
    </row>
    <row r="23" spans="1:2" x14ac:dyDescent="0.2">
      <c r="A23" t="s">
        <v>396</v>
      </c>
      <c r="B23">
        <v>196.32350000000002</v>
      </c>
    </row>
    <row r="24" spans="1:2" x14ac:dyDescent="0.2">
      <c r="A24" t="s">
        <v>398</v>
      </c>
      <c r="B24">
        <v>196.59950000000001</v>
      </c>
    </row>
    <row r="25" spans="1:2" x14ac:dyDescent="0.2">
      <c r="A25" t="s">
        <v>400</v>
      </c>
      <c r="B25">
        <v>198.43049999999999</v>
      </c>
    </row>
    <row r="26" spans="1:2" x14ac:dyDescent="0.2">
      <c r="A26" t="s">
        <v>402</v>
      </c>
      <c r="B26">
        <v>199.40249999999997</v>
      </c>
    </row>
    <row r="27" spans="1:2" x14ac:dyDescent="0.2">
      <c r="A27" t="s">
        <v>404</v>
      </c>
      <c r="B27">
        <v>197.46800000000002</v>
      </c>
    </row>
    <row r="28" spans="1:2" x14ac:dyDescent="0.2">
      <c r="A28" t="s">
        <v>406</v>
      </c>
      <c r="B28">
        <v>197.482</v>
      </c>
    </row>
    <row r="29" spans="1:2" x14ac:dyDescent="0.2">
      <c r="A29" t="s">
        <v>408</v>
      </c>
      <c r="B29">
        <v>197.995</v>
      </c>
    </row>
    <row r="30" spans="1:2" x14ac:dyDescent="0.2">
      <c r="A30" t="s">
        <v>410</v>
      </c>
      <c r="B30">
        <v>195.8545</v>
      </c>
    </row>
    <row r="31" spans="1:2" x14ac:dyDescent="0.2">
      <c r="A31" t="s">
        <v>412</v>
      </c>
      <c r="B31">
        <v>161.82599999999999</v>
      </c>
    </row>
    <row r="32" spans="1:2" x14ac:dyDescent="0.2">
      <c r="A32" t="s">
        <v>414</v>
      </c>
      <c r="B32">
        <v>149.09300000000002</v>
      </c>
    </row>
    <row r="33" spans="1:5" x14ac:dyDescent="0.2">
      <c r="A33" t="s">
        <v>416</v>
      </c>
      <c r="B33">
        <v>199.57999999999998</v>
      </c>
    </row>
    <row r="34" spans="1:5" x14ac:dyDescent="0.2">
      <c r="A34" t="s">
        <v>418</v>
      </c>
      <c r="B34">
        <v>203.16800000000001</v>
      </c>
    </row>
    <row r="35" spans="1:5" x14ac:dyDescent="0.2">
      <c r="A35" t="s">
        <v>420</v>
      </c>
      <c r="B35">
        <v>187.26150000000001</v>
      </c>
    </row>
    <row r="36" spans="1:5" x14ac:dyDescent="0.2">
      <c r="A36" t="s">
        <v>422</v>
      </c>
      <c r="B36">
        <v>177.6455</v>
      </c>
    </row>
    <row r="37" spans="1:5" x14ac:dyDescent="0.2">
      <c r="A37" t="s">
        <v>424</v>
      </c>
      <c r="B37">
        <v>160.697</v>
      </c>
    </row>
    <row r="38" spans="1:5" x14ac:dyDescent="0.2">
      <c r="A38" t="s">
        <v>426</v>
      </c>
      <c r="B38">
        <v>168.81700000000001</v>
      </c>
    </row>
    <row r="40" spans="1:5" x14ac:dyDescent="0.2">
      <c r="A40" s="376" t="s">
        <v>379</v>
      </c>
      <c r="B40" t="s">
        <v>474</v>
      </c>
      <c r="C40">
        <v>49.901499999999999</v>
      </c>
      <c r="D40" t="s">
        <v>401</v>
      </c>
      <c r="E40">
        <v>99.576999999999998</v>
      </c>
    </row>
    <row r="41" spans="1:5" x14ac:dyDescent="0.2">
      <c r="A41" s="376" t="s">
        <v>372</v>
      </c>
      <c r="B41" t="s">
        <v>473</v>
      </c>
      <c r="C41">
        <v>50.524500000000003</v>
      </c>
      <c r="D41" t="s">
        <v>399</v>
      </c>
      <c r="E41">
        <v>104.331</v>
      </c>
    </row>
    <row r="42" spans="1:5" x14ac:dyDescent="0.2">
      <c r="A42" s="376" t="s">
        <v>358</v>
      </c>
      <c r="B42" t="s">
        <v>472</v>
      </c>
      <c r="C42">
        <v>51.958500000000001</v>
      </c>
      <c r="D42" t="s">
        <v>397</v>
      </c>
      <c r="E42">
        <v>100.53749999999999</v>
      </c>
    </row>
    <row r="43" spans="1:5" x14ac:dyDescent="0.2">
      <c r="A43" s="376" t="s">
        <v>356</v>
      </c>
      <c r="B43" t="s">
        <v>471</v>
      </c>
      <c r="C43">
        <v>55.352499999999999</v>
      </c>
      <c r="D43" t="s">
        <v>395</v>
      </c>
      <c r="E43">
        <v>100.7685</v>
      </c>
    </row>
    <row r="44" spans="1:5" x14ac:dyDescent="0.2">
      <c r="A44" s="376" t="s">
        <v>354</v>
      </c>
      <c r="B44" t="s">
        <v>470</v>
      </c>
      <c r="C44">
        <v>51.851500000000001</v>
      </c>
      <c r="D44" t="s">
        <v>393</v>
      </c>
      <c r="E44">
        <v>100.232</v>
      </c>
    </row>
    <row r="45" spans="1:5" x14ac:dyDescent="0.2">
      <c r="A45" s="376" t="s">
        <v>352</v>
      </c>
      <c r="B45" t="s">
        <v>469</v>
      </c>
      <c r="C45">
        <v>51.521000000000001</v>
      </c>
      <c r="D45" t="s">
        <v>391</v>
      </c>
      <c r="E45">
        <v>109.64699999999999</v>
      </c>
    </row>
    <row r="46" spans="1:5" x14ac:dyDescent="0.2">
      <c r="A46" s="376" t="s">
        <v>381</v>
      </c>
      <c r="B46" t="s">
        <v>480</v>
      </c>
      <c r="C46">
        <v>50.667999999999999</v>
      </c>
      <c r="D46" t="s">
        <v>413</v>
      </c>
      <c r="E46">
        <v>100.072</v>
      </c>
    </row>
    <row r="47" spans="1:5" x14ac:dyDescent="0.2">
      <c r="A47" s="376" t="s">
        <v>374</v>
      </c>
      <c r="B47" t="s">
        <v>479</v>
      </c>
      <c r="C47">
        <v>51.335999999999999</v>
      </c>
      <c r="D47" t="s">
        <v>411</v>
      </c>
      <c r="E47">
        <v>101.09399999999999</v>
      </c>
    </row>
    <row r="48" spans="1:5" x14ac:dyDescent="0.2">
      <c r="A48" s="376" t="s">
        <v>366</v>
      </c>
      <c r="B48" t="s">
        <v>478</v>
      </c>
      <c r="C48">
        <v>49.654499999999999</v>
      </c>
      <c r="D48" t="s">
        <v>409</v>
      </c>
      <c r="E48">
        <v>101.6485</v>
      </c>
    </row>
    <row r="49" spans="1:5" x14ac:dyDescent="0.2">
      <c r="A49" s="376" t="s">
        <v>364</v>
      </c>
      <c r="B49" t="s">
        <v>477</v>
      </c>
      <c r="C49">
        <v>50.398499999999999</v>
      </c>
      <c r="D49" t="s">
        <v>407</v>
      </c>
      <c r="E49">
        <v>100.83799999999999</v>
      </c>
    </row>
    <row r="50" spans="1:5" x14ac:dyDescent="0.2">
      <c r="A50" s="376" t="s">
        <v>362</v>
      </c>
      <c r="B50" t="s">
        <v>476</v>
      </c>
      <c r="C50">
        <v>50.017499999999998</v>
      </c>
      <c r="D50" t="s">
        <v>405</v>
      </c>
      <c r="E50">
        <v>98.912000000000006</v>
      </c>
    </row>
    <row r="51" spans="1:5" x14ac:dyDescent="0.2">
      <c r="A51" s="376" t="s">
        <v>360</v>
      </c>
      <c r="B51" t="s">
        <v>475</v>
      </c>
      <c r="C51">
        <v>53.657499999999999</v>
      </c>
      <c r="D51" t="s">
        <v>403</v>
      </c>
      <c r="E51">
        <v>101.7025</v>
      </c>
    </row>
    <row r="52" spans="1:5" x14ac:dyDescent="0.2">
      <c r="A52" s="376" t="s">
        <v>382</v>
      </c>
      <c r="B52" t="s">
        <v>486</v>
      </c>
      <c r="C52">
        <v>49.997</v>
      </c>
      <c r="D52" t="s">
        <v>425</v>
      </c>
      <c r="E52">
        <v>99.877499999999998</v>
      </c>
    </row>
    <row r="53" spans="1:5" x14ac:dyDescent="0.2">
      <c r="A53" s="376" t="s">
        <v>376</v>
      </c>
      <c r="B53" t="s">
        <v>485</v>
      </c>
      <c r="C53">
        <v>51.270499999999998</v>
      </c>
      <c r="D53" t="s">
        <v>423</v>
      </c>
      <c r="E53">
        <v>102.104</v>
      </c>
    </row>
    <row r="54" spans="1:5" x14ac:dyDescent="0.2">
      <c r="A54" s="376" t="s">
        <v>371</v>
      </c>
      <c r="B54" t="s">
        <v>484</v>
      </c>
      <c r="C54">
        <v>51.078000000000003</v>
      </c>
      <c r="D54" t="s">
        <v>421</v>
      </c>
      <c r="E54">
        <v>100.86349999999999</v>
      </c>
    </row>
    <row r="55" spans="1:5" x14ac:dyDescent="0.2">
      <c r="A55" s="376" t="s">
        <v>370</v>
      </c>
      <c r="B55" t="s">
        <v>483</v>
      </c>
      <c r="C55">
        <v>51.358999999999995</v>
      </c>
      <c r="D55" t="s">
        <v>419</v>
      </c>
      <c r="E55">
        <v>133.62599999999998</v>
      </c>
    </row>
    <row r="56" spans="1:5" x14ac:dyDescent="0.2">
      <c r="A56" s="376" t="s">
        <v>369</v>
      </c>
      <c r="B56" t="s">
        <v>482</v>
      </c>
      <c r="C56">
        <v>52.938000000000002</v>
      </c>
      <c r="D56" t="s">
        <v>417</v>
      </c>
      <c r="E56">
        <v>102.09050000000001</v>
      </c>
    </row>
    <row r="57" spans="1:5" x14ac:dyDescent="0.2">
      <c r="A57" s="376" t="s">
        <v>368</v>
      </c>
      <c r="B57" t="s">
        <v>481</v>
      </c>
      <c r="C57">
        <v>54.844999999999999</v>
      </c>
      <c r="D57" t="s">
        <v>415</v>
      </c>
      <c r="E57">
        <v>107.5035</v>
      </c>
    </row>
    <row r="61" spans="1:5" x14ac:dyDescent="0.2">
      <c r="A61" t="s">
        <v>392</v>
      </c>
      <c r="B61">
        <v>205.31900000000002</v>
      </c>
    </row>
    <row r="62" spans="1:5" x14ac:dyDescent="0.2">
      <c r="A62" t="s">
        <v>394</v>
      </c>
      <c r="B62">
        <v>196.24600000000001</v>
      </c>
    </row>
    <row r="63" spans="1:5" x14ac:dyDescent="0.2">
      <c r="A63" t="s">
        <v>396</v>
      </c>
      <c r="B63">
        <v>196.32350000000002</v>
      </c>
    </row>
    <row r="64" spans="1:5" x14ac:dyDescent="0.2">
      <c r="A64" t="s">
        <v>398</v>
      </c>
      <c r="B64">
        <v>196.59950000000001</v>
      </c>
    </row>
    <row r="65" spans="1:2" x14ac:dyDescent="0.2">
      <c r="A65" t="s">
        <v>400</v>
      </c>
      <c r="B65">
        <v>198.43049999999999</v>
      </c>
    </row>
    <row r="66" spans="1:2" x14ac:dyDescent="0.2">
      <c r="A66" t="s">
        <v>402</v>
      </c>
      <c r="B66">
        <v>199.40249999999997</v>
      </c>
    </row>
    <row r="67" spans="1:2" x14ac:dyDescent="0.2">
      <c r="A67" t="s">
        <v>404</v>
      </c>
      <c r="B67">
        <v>197.46800000000002</v>
      </c>
    </row>
    <row r="68" spans="1:2" x14ac:dyDescent="0.2">
      <c r="A68" t="s">
        <v>406</v>
      </c>
      <c r="B68">
        <v>197.482</v>
      </c>
    </row>
    <row r="69" spans="1:2" x14ac:dyDescent="0.2">
      <c r="A69" t="s">
        <v>408</v>
      </c>
      <c r="B69">
        <v>197.995</v>
      </c>
    </row>
    <row r="70" spans="1:2" x14ac:dyDescent="0.2">
      <c r="A70" t="s">
        <v>410</v>
      </c>
      <c r="B70">
        <v>195.8545</v>
      </c>
    </row>
    <row r="71" spans="1:2" x14ac:dyDescent="0.2">
      <c r="A71" t="s">
        <v>412</v>
      </c>
      <c r="B71">
        <v>161.82599999999999</v>
      </c>
    </row>
    <row r="72" spans="1:2" x14ac:dyDescent="0.2">
      <c r="A72" t="s">
        <v>414</v>
      </c>
      <c r="B72">
        <v>149.09300000000002</v>
      </c>
    </row>
    <row r="73" spans="1:2" x14ac:dyDescent="0.2">
      <c r="A73" t="s">
        <v>416</v>
      </c>
      <c r="B73">
        <v>199.57999999999998</v>
      </c>
    </row>
    <row r="74" spans="1:2" x14ac:dyDescent="0.2">
      <c r="A74" t="s">
        <v>418</v>
      </c>
      <c r="B74">
        <v>203.16800000000001</v>
      </c>
    </row>
    <row r="75" spans="1:2" x14ac:dyDescent="0.2">
      <c r="A75" t="s">
        <v>420</v>
      </c>
      <c r="B75">
        <v>187.26150000000001</v>
      </c>
    </row>
    <row r="76" spans="1:2" x14ac:dyDescent="0.2">
      <c r="A76" t="s">
        <v>422</v>
      </c>
      <c r="B76">
        <v>177.6455</v>
      </c>
    </row>
    <row r="77" spans="1:2" x14ac:dyDescent="0.2">
      <c r="A77" t="s">
        <v>424</v>
      </c>
      <c r="B77">
        <v>160.697</v>
      </c>
    </row>
    <row r="78" spans="1:2" x14ac:dyDescent="0.2">
      <c r="A78" t="s">
        <v>426</v>
      </c>
      <c r="B78">
        <v>168.81700000000001</v>
      </c>
    </row>
    <row r="80" spans="1:2" x14ac:dyDescent="0.2">
      <c r="A80" t="s">
        <v>475</v>
      </c>
      <c r="B80">
        <v>53.657499999999999</v>
      </c>
    </row>
    <row r="81" spans="1:2" x14ac:dyDescent="0.2">
      <c r="A81" t="s">
        <v>476</v>
      </c>
      <c r="B81">
        <v>50.017499999999998</v>
      </c>
    </row>
    <row r="82" spans="1:2" x14ac:dyDescent="0.2">
      <c r="A82" t="s">
        <v>477</v>
      </c>
      <c r="B82">
        <v>50.398499999999999</v>
      </c>
    </row>
    <row r="83" spans="1:2" x14ac:dyDescent="0.2">
      <c r="A83" t="s">
        <v>478</v>
      </c>
      <c r="B83">
        <v>49.654499999999999</v>
      </c>
    </row>
    <row r="84" spans="1:2" x14ac:dyDescent="0.2">
      <c r="A84" t="s">
        <v>479</v>
      </c>
      <c r="B84">
        <v>51.335999999999999</v>
      </c>
    </row>
    <row r="85" spans="1:2" x14ac:dyDescent="0.2">
      <c r="A85" t="s">
        <v>480</v>
      </c>
      <c r="B85">
        <v>50.667999999999999</v>
      </c>
    </row>
    <row r="87" spans="1:2" x14ac:dyDescent="0.2">
      <c r="A87" t="s">
        <v>481</v>
      </c>
      <c r="B87">
        <v>54.844999999999999</v>
      </c>
    </row>
    <row r="88" spans="1:2" x14ac:dyDescent="0.2">
      <c r="A88" t="s">
        <v>482</v>
      </c>
      <c r="B88">
        <v>52.938000000000002</v>
      </c>
    </row>
    <row r="89" spans="1:2" x14ac:dyDescent="0.2">
      <c r="A89" t="s">
        <v>483</v>
      </c>
      <c r="B89">
        <v>51.358999999999995</v>
      </c>
    </row>
    <row r="90" spans="1:2" x14ac:dyDescent="0.2">
      <c r="A90" t="s">
        <v>484</v>
      </c>
      <c r="B90">
        <v>51.078000000000003</v>
      </c>
    </row>
    <row r="91" spans="1:2" x14ac:dyDescent="0.2">
      <c r="A91" t="s">
        <v>485</v>
      </c>
      <c r="B91">
        <v>51.270499999999998</v>
      </c>
    </row>
    <row r="92" spans="1:2" x14ac:dyDescent="0.2">
      <c r="A92" t="s">
        <v>486</v>
      </c>
      <c r="B92">
        <v>49.997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Cell Counts - PARAGON I</vt:lpstr>
      <vt:lpstr>Run Sheet - 20220130</vt:lpstr>
      <vt:lpstr>Sample List</vt:lpstr>
      <vt:lpstr>PrimaryCounts</vt:lpstr>
      <vt:lpstr>FlowjoRaw</vt:lpstr>
      <vt:lpstr>Scratch</vt:lpstr>
    </vt:vector>
  </TitlesOfParts>
  <Company>University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Doggett</dc:creator>
  <cp:lastModifiedBy>Eric Shimabukuro</cp:lastModifiedBy>
  <dcterms:created xsi:type="dcterms:W3CDTF">2012-01-26T19:39:20Z</dcterms:created>
  <dcterms:modified xsi:type="dcterms:W3CDTF">2024-03-13T22:47:23Z</dcterms:modified>
</cp:coreProperties>
</file>
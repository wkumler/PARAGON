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more3/Desktop/"/>
    </mc:Choice>
  </mc:AlternateContent>
  <xr:revisionPtr revIDLastSave="0" documentId="13_ncr:1_{F516C715-7AD9-F24A-9F8F-ABC48A9B3FC5}" xr6:coauthVersionLast="47" xr6:coauthVersionMax="47" xr10:uidLastSave="{00000000-0000-0000-0000-000000000000}"/>
  <bookViews>
    <workbookView xWindow="1180" yWindow="1460" windowWidth="27240" windowHeight="16040" xr2:uid="{B7C5FA4B-5D17-0548-B976-23FB83BE99D8}"/>
  </bookViews>
  <sheets>
    <sheet name="WC Core Casts" sheetId="1" r:id="rId1"/>
  </sheets>
  <externalReferences>
    <externalReference r:id="rId2"/>
  </externalReferences>
  <definedNames>
    <definedName name="_xlnm.Print_Area" localSheetId="0">'WC Core Casts'!$A$1:$G$37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3" i="1" l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</calcChain>
</file>

<file path=xl/sharedStrings.xml><?xml version="1.0" encoding="utf-8"?>
<sst xmlns="http://schemas.openxmlformats.org/spreadsheetml/2006/main" count="37" uniqueCount="37">
  <si>
    <t xml:space="preserve"> Name</t>
  </si>
  <si>
    <t>Depth (m)</t>
  </si>
  <si>
    <t>TC value (µmol/L)</t>
  </si>
  <si>
    <t>N value (µmol/L)</t>
  </si>
  <si>
    <t>C/N RATIO</t>
  </si>
  <si>
    <t>PPO4 value (nmol/L)</t>
  </si>
  <si>
    <t>TC:PPO4</t>
  </si>
  <si>
    <t>N:P</t>
  </si>
  <si>
    <t>PARAGON I</t>
  </si>
  <si>
    <t>PARAGON II</t>
  </si>
  <si>
    <t>KM2209-2-1-1</t>
  </si>
  <si>
    <t>KM2209-2-1-3</t>
  </si>
  <si>
    <t>KM2209-2-1-5</t>
  </si>
  <si>
    <t>KM2209-2-1-7</t>
  </si>
  <si>
    <t>KM2209-2-1-9</t>
  </si>
  <si>
    <t>KM2209-2-1-11</t>
  </si>
  <si>
    <t>KM2209-2-1-13</t>
  </si>
  <si>
    <t>KM2209-2-1-15</t>
  </si>
  <si>
    <t>KM2209-2-1-17</t>
  </si>
  <si>
    <t>KM2209-2-1-19</t>
  </si>
  <si>
    <t>KM2209-3-1-1</t>
  </si>
  <si>
    <t>KM2209-3-1-3</t>
  </si>
  <si>
    <t>KM2209-3-1-5</t>
  </si>
  <si>
    <t>KM2209-3-1-7</t>
  </si>
  <si>
    <t>KM2209-3-1-9</t>
  </si>
  <si>
    <t>KM2209-3-1-11</t>
  </si>
  <si>
    <t>KM2209-3-1-13</t>
  </si>
  <si>
    <t>KM2209-3-1-15</t>
  </si>
  <si>
    <t>KM2209-3-1-17</t>
  </si>
  <si>
    <t>KM2209-3-1-19</t>
  </si>
  <si>
    <t>KM2112-2-45-1</t>
  </si>
  <si>
    <t>KM2112-2-45-4</t>
  </si>
  <si>
    <t>KM2112-2-45-7</t>
  </si>
  <si>
    <t>KM2112-2-45-10</t>
  </si>
  <si>
    <t>KM2112-2-45-14</t>
  </si>
  <si>
    <t>KM2112-2-45-17</t>
  </si>
  <si>
    <t>KM2112-2-45-21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</si>
</sst>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u/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1" applyFont="1" applyAlignment="1">
      <alignment wrapText="1"/>
    </xf>
    <xf numFmtId="0" fontId="2" fillId="0" borderId="0" xfId="1" applyFont="1" applyAlignment="1">
      <alignment horizontal="center" wrapText="1"/>
    </xf>
    <xf numFmtId="2" fontId="2" fillId="0" borderId="0" xfId="1" applyNumberFormat="1" applyFont="1" applyAlignment="1">
      <alignment horizontal="center" wrapText="1"/>
    </xf>
    <xf numFmtId="2" fontId="2" fillId="0" borderId="0" xfId="1" applyNumberFormat="1" applyFont="1" applyAlignment="1">
      <alignment horizontal="center"/>
    </xf>
    <xf numFmtId="0" fontId="2" fillId="0" borderId="0" xfId="1" applyFont="1" applyAlignment="1">
      <alignment horizontal="center"/>
    </xf>
    <xf numFmtId="0" fontId="1" fillId="0" borderId="0" xfId="1"/>
    <xf numFmtId="0" fontId="2" fillId="0" borderId="0" xfId="1" applyFont="1"/>
    <xf numFmtId="0" fontId="3" fillId="0" borderId="0" xfId="1" applyFont="1"/>
    <xf numFmtId="2" fontId="1" fillId="0" borderId="0" xfId="1" applyNumberFormat="1"/>
    <xf numFmtId="0" fontId="1" fillId="0" borderId="0" xfId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center"/>
    </xf>
    <xf numFmtId="164" fontId="2" fillId="0" borderId="0" xfId="1" applyNumberFormat="1" applyFont="1" applyAlignment="1">
      <alignment horizontal="center"/>
    </xf>
    <xf numFmtId="164" fontId="2" fillId="0" borderId="0" xfId="1" applyNumberFormat="1" applyFont="1"/>
    <xf numFmtId="0" fontId="5" fillId="0" borderId="0" xfId="1" applyFont="1"/>
    <xf numFmtId="2" fontId="5" fillId="0" borderId="0" xfId="1" applyNumberFormat="1" applyFont="1" applyAlignment="1">
      <alignment horizontal="center"/>
    </xf>
    <xf numFmtId="0" fontId="6" fillId="0" borderId="0" xfId="1" applyFont="1"/>
    <xf numFmtId="2" fontId="5" fillId="0" borderId="0" xfId="2" applyNumberFormat="1" applyFont="1" applyAlignment="1">
      <alignment horizontal="center"/>
    </xf>
  </cellXfs>
  <cellStyles count="3">
    <cellStyle name="Normal" xfId="0" builtinId="0"/>
    <cellStyle name="Normal 2" xfId="1" xr:uid="{C79C860F-F49F-AB45-93BC-C411561FD4C6}"/>
    <cellStyle name="Percent 2" xfId="2" xr:uid="{9B81D953-8CE6-134C-8B3D-9B0835B7B5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800" b="1" i="0" u="none" strike="noStrike" baseline="0">
                <a:solidFill>
                  <a:srgbClr val="DD0806"/>
                </a:solidFill>
                <a:latin typeface="Arial" pitchFamily="2" charset="0"/>
                <a:cs typeface="Arial" pitchFamily="2" charset="0"/>
              </a:rPr>
              <a:t>PARAGON </a:t>
            </a:r>
            <a:r>
              <a:rPr lang="en-US" sz="800" b="1" i="0" u="none" strike="noStrike" baseline="0">
                <a:solidFill>
                  <a:srgbClr val="000000"/>
                </a:solidFill>
                <a:latin typeface="Arial" pitchFamily="2" charset="0"/>
                <a:cs typeface="Arial" pitchFamily="2" charset="0"/>
              </a:rPr>
              <a:t>PC</a:t>
            </a:r>
          </a:p>
        </c:rich>
      </c:tx>
      <c:layout>
        <c:manualLayout>
          <c:xMode val="edge"/>
          <c:yMode val="edge"/>
          <c:x val="0.35521344758375789"/>
          <c:y val="3.25202206866998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395742198891808"/>
          <c:y val="0.23035291315451667"/>
          <c:w val="0.74171754846433668"/>
          <c:h val="0.71273901364280223"/>
        </c:manualLayout>
      </c:layout>
      <c:scatterChart>
        <c:scatterStyle val="lineMarker"/>
        <c:varyColors val="0"/>
        <c:ser>
          <c:idx val="0"/>
          <c:order val="0"/>
          <c:tx>
            <c:v>PARAGON I</c:v>
          </c:tx>
          <c:spPr>
            <a:ln w="12700">
              <a:solidFill>
                <a:srgbClr val="00009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90"/>
                </a:solidFill>
                <a:prstDash val="solid"/>
              </a:ln>
            </c:spPr>
          </c:marker>
          <c:xVal>
            <c:numRef>
              <c:f>'WC Core Casts'!$C$4:$C$10</c:f>
              <c:numCache>
                <c:formatCode>0.00</c:formatCode>
                <c:ptCount val="7"/>
                <c:pt idx="0">
                  <c:v>0.67048597546655286</c:v>
                </c:pt>
                <c:pt idx="1">
                  <c:v>1.2838017430481967</c:v>
                </c:pt>
                <c:pt idx="2">
                  <c:v>1.3611954258311689</c:v>
                </c:pt>
                <c:pt idx="3">
                  <c:v>1.5424288739561189</c:v>
                </c:pt>
                <c:pt idx="4">
                  <c:v>2.3782028654164566</c:v>
                </c:pt>
                <c:pt idx="5">
                  <c:v>2.791422905400919</c:v>
                </c:pt>
                <c:pt idx="6">
                  <c:v>2.8390647453050093</c:v>
                </c:pt>
              </c:numCache>
            </c:numRef>
          </c:xVal>
          <c:yVal>
            <c:numRef>
              <c:f>'WC Core Casts'!$B$4:$B$10</c:f>
              <c:numCache>
                <c:formatCode>General</c:formatCode>
                <c:ptCount val="7"/>
                <c:pt idx="0">
                  <c:v>300</c:v>
                </c:pt>
                <c:pt idx="1">
                  <c:v>200</c:v>
                </c:pt>
                <c:pt idx="2">
                  <c:v>175</c:v>
                </c:pt>
                <c:pt idx="3">
                  <c:v>150</c:v>
                </c:pt>
                <c:pt idx="4">
                  <c:v>100</c:v>
                </c:pt>
                <c:pt idx="5">
                  <c:v>75</c:v>
                </c:pt>
                <c:pt idx="6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C8-BA49-9827-ACF3D89DD56B}"/>
            </c:ext>
          </c:extLst>
        </c:ser>
        <c:ser>
          <c:idx val="1"/>
          <c:order val="1"/>
          <c:tx>
            <c:v>PARAGON II Core 1</c:v>
          </c:tx>
          <c:xVal>
            <c:numRef>
              <c:f>'WC Core Casts'!$C$13:$C$22</c:f>
              <c:numCache>
                <c:formatCode>0.00</c:formatCode>
                <c:ptCount val="10"/>
                <c:pt idx="0">
                  <c:v>0.5384867819600756</c:v>
                </c:pt>
                <c:pt idx="1">
                  <c:v>0.84554815642868053</c:v>
                </c:pt>
                <c:pt idx="2">
                  <c:v>0.89743494606145857</c:v>
                </c:pt>
                <c:pt idx="3">
                  <c:v>0.91950619239778952</c:v>
                </c:pt>
                <c:pt idx="4">
                  <c:v>1.1487373824172273</c:v>
                </c:pt>
                <c:pt idx="5">
                  <c:v>1.4110754419411617</c:v>
                </c:pt>
                <c:pt idx="6">
                  <c:v>1.7556966566663299</c:v>
                </c:pt>
                <c:pt idx="7">
                  <c:v>3.8302002048574408</c:v>
                </c:pt>
                <c:pt idx="8">
                  <c:v>5.7256168858458665</c:v>
                </c:pt>
                <c:pt idx="9">
                  <c:v>5.0470021075844604</c:v>
                </c:pt>
              </c:numCache>
            </c:numRef>
          </c:xVal>
          <c:yVal>
            <c:numRef>
              <c:f>'WC Core Casts'!$B$13:$B$22</c:f>
              <c:numCache>
                <c:formatCode>General</c:formatCode>
                <c:ptCount val="10"/>
                <c:pt idx="0">
                  <c:v>300</c:v>
                </c:pt>
                <c:pt idx="1">
                  <c:v>200</c:v>
                </c:pt>
                <c:pt idx="2">
                  <c:v>175</c:v>
                </c:pt>
                <c:pt idx="3">
                  <c:v>150</c:v>
                </c:pt>
                <c:pt idx="4">
                  <c:v>125</c:v>
                </c:pt>
                <c:pt idx="5">
                  <c:v>100</c:v>
                </c:pt>
                <c:pt idx="6">
                  <c:v>75</c:v>
                </c:pt>
                <c:pt idx="7">
                  <c:v>45</c:v>
                </c:pt>
                <c:pt idx="8">
                  <c:v>25</c:v>
                </c:pt>
                <c:pt idx="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C8-BA49-9827-ACF3D89DD56B}"/>
            </c:ext>
          </c:extLst>
        </c:ser>
        <c:ser>
          <c:idx val="2"/>
          <c:order val="2"/>
          <c:tx>
            <c:v>PARAGON II Core 2</c:v>
          </c:tx>
          <c:xVal>
            <c:numRef>
              <c:f>'WC Core Casts'!$C$24:$C$33</c:f>
              <c:numCache>
                <c:formatCode>0.00</c:formatCode>
                <c:ptCount val="10"/>
                <c:pt idx="0">
                  <c:v>0.67943298663418938</c:v>
                </c:pt>
                <c:pt idx="1">
                  <c:v>0.86142396519691866</c:v>
                </c:pt>
                <c:pt idx="2">
                  <c:v>0.94119022388611473</c:v>
                </c:pt>
                <c:pt idx="3">
                  <c:v>1.0658734049439846</c:v>
                </c:pt>
                <c:pt idx="4">
                  <c:v>1.2445730572986646</c:v>
                </c:pt>
                <c:pt idx="5">
                  <c:v>1.5582170841833685</c:v>
                </c:pt>
                <c:pt idx="6">
                  <c:v>2.3733043392355917</c:v>
                </c:pt>
                <c:pt idx="7">
                  <c:v>3.5930311104538837</c:v>
                </c:pt>
                <c:pt idx="8">
                  <c:v>4.4768490010271389</c:v>
                </c:pt>
                <c:pt idx="9">
                  <c:v>2.8428023424426327</c:v>
                </c:pt>
              </c:numCache>
            </c:numRef>
          </c:xVal>
          <c:yVal>
            <c:numRef>
              <c:f>'WC Core Casts'!$B$24:$B$33</c:f>
              <c:numCache>
                <c:formatCode>General</c:formatCode>
                <c:ptCount val="10"/>
                <c:pt idx="0">
                  <c:v>300</c:v>
                </c:pt>
                <c:pt idx="1">
                  <c:v>200</c:v>
                </c:pt>
                <c:pt idx="2">
                  <c:v>175</c:v>
                </c:pt>
                <c:pt idx="3">
                  <c:v>150</c:v>
                </c:pt>
                <c:pt idx="4">
                  <c:v>125</c:v>
                </c:pt>
                <c:pt idx="5">
                  <c:v>100</c:v>
                </c:pt>
                <c:pt idx="6">
                  <c:v>75</c:v>
                </c:pt>
                <c:pt idx="7">
                  <c:v>45</c:v>
                </c:pt>
                <c:pt idx="8">
                  <c:v>25</c:v>
                </c:pt>
                <c:pt idx="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C8-BA49-9827-ACF3D89DD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3991711"/>
        <c:axId val="1"/>
      </c:scatterChart>
      <c:valAx>
        <c:axId val="1803991711"/>
        <c:scaling>
          <c:orientation val="minMax"/>
          <c:max val="6"/>
          <c:min val="0"/>
        </c:scaling>
        <c:delete val="0"/>
        <c:axPos val="t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 (µmol/L)</a:t>
                </a:r>
              </a:p>
            </c:rich>
          </c:tx>
          <c:layout>
            <c:manualLayout>
              <c:xMode val="edge"/>
              <c:yMode val="edge"/>
              <c:x val="0.46491354021923731"/>
              <c:y val="0.1165314157158926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"/>
      </c:valAx>
      <c:valAx>
        <c:axId val="1"/>
        <c:scaling>
          <c:orientation val="maxMin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Depth (m)</a:t>
                </a:r>
              </a:p>
            </c:rich>
          </c:tx>
          <c:layout>
            <c:manualLayout>
              <c:xMode val="edge"/>
              <c:yMode val="edge"/>
              <c:x val="4.6783618959394778E-2"/>
              <c:y val="0.523036584712625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3991711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1497016746146183"/>
          <c:y val="0.45559384308249401"/>
          <c:w val="0.29488898746811576"/>
          <c:h val="0.15015769269569557"/>
        </c:manualLayout>
      </c:layout>
      <c:overlay val="0"/>
      <c:txPr>
        <a:bodyPr/>
        <a:lstStyle/>
        <a:p>
          <a:pPr>
            <a:defRPr sz="800" b="1"/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33" r="0.75000000000000133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800" b="1" i="0" u="none" strike="noStrike" baseline="0">
                <a:solidFill>
                  <a:srgbClr val="DD0806"/>
                </a:solidFill>
                <a:latin typeface="Arial" pitchFamily="2" charset="0"/>
                <a:cs typeface="Arial" pitchFamily="2" charset="0"/>
              </a:rPr>
              <a:t>PARAGON </a:t>
            </a:r>
            <a:r>
              <a:rPr lang="en-US" sz="800" b="1" i="0" u="none" strike="noStrike" baseline="0">
                <a:solidFill>
                  <a:srgbClr val="000000"/>
                </a:solidFill>
                <a:latin typeface="Arial" pitchFamily="2" charset="0"/>
                <a:cs typeface="Arial" pitchFamily="2" charset="0"/>
              </a:rPr>
              <a:t>PC:PN</a:t>
            </a:r>
          </a:p>
        </c:rich>
      </c:tx>
      <c:layout>
        <c:manualLayout>
          <c:xMode val="edge"/>
          <c:yMode val="edge"/>
          <c:x val="0.36796436379113545"/>
          <c:y val="3.72550010640561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316026902887139"/>
          <c:y val="0.22394541767550377"/>
          <c:w val="0.74913385826771661"/>
          <c:h val="0.71404124871988006"/>
        </c:manualLayout>
      </c:layout>
      <c:scatterChart>
        <c:scatterStyle val="lineMarker"/>
        <c:varyColors val="0"/>
        <c:ser>
          <c:idx val="0"/>
          <c:order val="0"/>
          <c:tx>
            <c:v>PARAGON I</c:v>
          </c:tx>
          <c:spPr>
            <a:ln w="12700">
              <a:solidFill>
                <a:srgbClr val="00009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90"/>
                </a:solidFill>
                <a:prstDash val="solid"/>
              </a:ln>
            </c:spPr>
          </c:marker>
          <c:xVal>
            <c:numRef>
              <c:f>'WC Core Casts'!$E$4:$E$10</c:f>
              <c:numCache>
                <c:formatCode>0.00</c:formatCode>
                <c:ptCount val="7"/>
                <c:pt idx="0">
                  <c:v>8.3270810245649223</c:v>
                </c:pt>
                <c:pt idx="1">
                  <c:v>10.122054398268478</c:v>
                </c:pt>
                <c:pt idx="2">
                  <c:v>9.2717875402085124</c:v>
                </c:pt>
                <c:pt idx="3">
                  <c:v>8.4223735780243096</c:v>
                </c:pt>
                <c:pt idx="4">
                  <c:v>7.0939788950820768</c:v>
                </c:pt>
                <c:pt idx="5">
                  <c:v>7.8986610483635609</c:v>
                </c:pt>
                <c:pt idx="6">
                  <c:v>7.8322132504880964</c:v>
                </c:pt>
              </c:numCache>
            </c:numRef>
          </c:xVal>
          <c:yVal>
            <c:numRef>
              <c:f>'WC Core Casts'!$B$4:$B$10</c:f>
              <c:numCache>
                <c:formatCode>General</c:formatCode>
                <c:ptCount val="7"/>
                <c:pt idx="0">
                  <c:v>300</c:v>
                </c:pt>
                <c:pt idx="1">
                  <c:v>200</c:v>
                </c:pt>
                <c:pt idx="2">
                  <c:v>175</c:v>
                </c:pt>
                <c:pt idx="3">
                  <c:v>150</c:v>
                </c:pt>
                <c:pt idx="4">
                  <c:v>100</c:v>
                </c:pt>
                <c:pt idx="5">
                  <c:v>75</c:v>
                </c:pt>
                <c:pt idx="6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DA-304A-B722-3C8794B6A803}"/>
            </c:ext>
          </c:extLst>
        </c:ser>
        <c:ser>
          <c:idx val="1"/>
          <c:order val="1"/>
          <c:tx>
            <c:v>PARAGON II Core 1</c:v>
          </c:tx>
          <c:xVal>
            <c:numRef>
              <c:f>'WC Core Casts'!$E$13:$E$22</c:f>
              <c:numCache>
                <c:formatCode>0.00</c:formatCode>
                <c:ptCount val="10"/>
                <c:pt idx="0">
                  <c:v>7.2823588033025057</c:v>
                </c:pt>
                <c:pt idx="1">
                  <c:v>6.9864585106663508</c:v>
                </c:pt>
                <c:pt idx="2">
                  <c:v>6.4500808956953852</c:v>
                </c:pt>
                <c:pt idx="3">
                  <c:v>6.0932326980384124</c:v>
                </c:pt>
                <c:pt idx="4">
                  <c:v>5.7235070071875924</c:v>
                </c:pt>
                <c:pt idx="5">
                  <c:v>5.8994846116034614</c:v>
                </c:pt>
                <c:pt idx="6">
                  <c:v>6.075385068020541</c:v>
                </c:pt>
                <c:pt idx="7">
                  <c:v>6.3692200719813936</c:v>
                </c:pt>
                <c:pt idx="8">
                  <c:v>8.8545106450686184</c:v>
                </c:pt>
                <c:pt idx="9">
                  <c:v>8.3734030915713209</c:v>
                </c:pt>
              </c:numCache>
            </c:numRef>
          </c:xVal>
          <c:yVal>
            <c:numRef>
              <c:f>'WC Core Casts'!$B$13:$B$22</c:f>
              <c:numCache>
                <c:formatCode>General</c:formatCode>
                <c:ptCount val="10"/>
                <c:pt idx="0">
                  <c:v>300</c:v>
                </c:pt>
                <c:pt idx="1">
                  <c:v>200</c:v>
                </c:pt>
                <c:pt idx="2">
                  <c:v>175</c:v>
                </c:pt>
                <c:pt idx="3">
                  <c:v>150</c:v>
                </c:pt>
                <c:pt idx="4">
                  <c:v>125</c:v>
                </c:pt>
                <c:pt idx="5">
                  <c:v>100</c:v>
                </c:pt>
                <c:pt idx="6">
                  <c:v>75</c:v>
                </c:pt>
                <c:pt idx="7">
                  <c:v>45</c:v>
                </c:pt>
                <c:pt idx="8">
                  <c:v>25</c:v>
                </c:pt>
                <c:pt idx="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DA-304A-B722-3C8794B6A803}"/>
            </c:ext>
          </c:extLst>
        </c:ser>
        <c:ser>
          <c:idx val="2"/>
          <c:order val="2"/>
          <c:tx>
            <c:v>PARAGON II Core 2</c:v>
          </c:tx>
          <c:xVal>
            <c:numRef>
              <c:f>'WC Core Casts'!$E$24:$E$33</c:f>
              <c:numCache>
                <c:formatCode>0.00</c:formatCode>
                <c:ptCount val="10"/>
                <c:pt idx="0">
                  <c:v>8.3999160192355369</c:v>
                </c:pt>
                <c:pt idx="1">
                  <c:v>6.2454517823543991</c:v>
                </c:pt>
                <c:pt idx="2">
                  <c:v>6.2494237259043759</c:v>
                </c:pt>
                <c:pt idx="3">
                  <c:v>5.9354242990201431</c:v>
                </c:pt>
                <c:pt idx="4">
                  <c:v>5.3208596376478772</c:v>
                </c:pt>
                <c:pt idx="5">
                  <c:v>5.9173279030219286</c:v>
                </c:pt>
                <c:pt idx="6">
                  <c:v>6.3415417803506822</c:v>
                </c:pt>
                <c:pt idx="7">
                  <c:v>7.4755757499422328</c:v>
                </c:pt>
                <c:pt idx="8">
                  <c:v>7.964147135930058</c:v>
                </c:pt>
                <c:pt idx="9">
                  <c:v>7.2454676593905765</c:v>
                </c:pt>
              </c:numCache>
            </c:numRef>
          </c:xVal>
          <c:yVal>
            <c:numRef>
              <c:f>'WC Core Casts'!$B$24:$B$33</c:f>
              <c:numCache>
                <c:formatCode>General</c:formatCode>
                <c:ptCount val="10"/>
                <c:pt idx="0">
                  <c:v>300</c:v>
                </c:pt>
                <c:pt idx="1">
                  <c:v>200</c:v>
                </c:pt>
                <c:pt idx="2">
                  <c:v>175</c:v>
                </c:pt>
                <c:pt idx="3">
                  <c:v>150</c:v>
                </c:pt>
                <c:pt idx="4">
                  <c:v>125</c:v>
                </c:pt>
                <c:pt idx="5">
                  <c:v>100</c:v>
                </c:pt>
                <c:pt idx="6">
                  <c:v>75</c:v>
                </c:pt>
                <c:pt idx="7">
                  <c:v>45</c:v>
                </c:pt>
                <c:pt idx="8">
                  <c:v>25</c:v>
                </c:pt>
                <c:pt idx="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DA-304A-B722-3C8794B6A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3900767"/>
        <c:axId val="1"/>
      </c:scatterChart>
      <c:valAx>
        <c:axId val="1803900767"/>
        <c:scaling>
          <c:orientation val="minMax"/>
          <c:max val="14"/>
          <c:min val="0"/>
        </c:scaling>
        <c:delete val="0"/>
        <c:axPos val="t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C/N by mole</a:t>
                </a:r>
              </a:p>
            </c:rich>
          </c:tx>
          <c:layout>
            <c:manualLayout>
              <c:xMode val="edge"/>
              <c:yMode val="edge"/>
              <c:x val="0.47135522064655921"/>
              <c:y val="0.1136954671206639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2"/>
      </c:valAx>
      <c:valAx>
        <c:axId val="1"/>
        <c:scaling>
          <c:orientation val="maxMin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Depth (m)</a:t>
                </a:r>
              </a:p>
            </c:rich>
          </c:tx>
          <c:layout>
            <c:manualLayout>
              <c:xMode val="edge"/>
              <c:yMode val="edge"/>
              <c:x val="4.1666698910793394E-2"/>
              <c:y val="0.521965045754415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3900767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33" r="0.75000000000000133" t="1" header="0.5" footer="0.5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800" b="1" i="0" u="none" strike="noStrike" baseline="0">
                <a:solidFill>
                  <a:srgbClr val="DD0806"/>
                </a:solidFill>
                <a:latin typeface="Arial" pitchFamily="2" charset="0"/>
                <a:cs typeface="Arial" pitchFamily="2" charset="0"/>
              </a:rPr>
              <a:t>PARAGON </a:t>
            </a:r>
            <a:r>
              <a:rPr lang="en-US" sz="800" b="1" i="0" u="none" strike="noStrike" baseline="0">
                <a:solidFill>
                  <a:srgbClr val="000000"/>
                </a:solidFill>
                <a:latin typeface="Arial" pitchFamily="2" charset="0"/>
                <a:cs typeface="Arial" pitchFamily="2" charset="0"/>
              </a:rPr>
              <a:t>PN</a:t>
            </a:r>
          </a:p>
        </c:rich>
      </c:tx>
      <c:layout>
        <c:manualLayout>
          <c:xMode val="edge"/>
          <c:yMode val="edge"/>
          <c:x val="0.38843076627616668"/>
          <c:y val="3.35051463276987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549156562041333"/>
          <c:y val="0.22164976347274123"/>
          <c:w val="0.7428854037873367"/>
          <c:h val="0.72422771553302778"/>
        </c:manualLayout>
      </c:layout>
      <c:scatterChart>
        <c:scatterStyle val="lineMarker"/>
        <c:varyColors val="0"/>
        <c:ser>
          <c:idx val="0"/>
          <c:order val="0"/>
          <c:tx>
            <c:v>PARAGON I</c:v>
          </c:tx>
          <c:spPr>
            <a:ln w="12700">
              <a:solidFill>
                <a:srgbClr val="00009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90"/>
                </a:solidFill>
                <a:prstDash val="solid"/>
              </a:ln>
            </c:spPr>
          </c:marker>
          <c:xVal>
            <c:numRef>
              <c:f>'WC Core Casts'!$D$4:$D$10</c:f>
              <c:numCache>
                <c:formatCode>0.00</c:formatCode>
                <c:ptCount val="7"/>
                <c:pt idx="0">
                  <c:v>8.0518728410185578E-2</c:v>
                </c:pt>
                <c:pt idx="1">
                  <c:v>0.1268321323453675</c:v>
                </c:pt>
                <c:pt idx="2">
                  <c:v>0.14681046345466164</c:v>
                </c:pt>
                <c:pt idx="3">
                  <c:v>0.18313470183519651</c:v>
                </c:pt>
                <c:pt idx="4">
                  <c:v>0.33524245005368614</c:v>
                </c:pt>
                <c:pt idx="5">
                  <c:v>0.35340456924395358</c:v>
                </c:pt>
                <c:pt idx="6">
                  <c:v>0.36248562883908725</c:v>
                </c:pt>
              </c:numCache>
            </c:numRef>
          </c:xVal>
          <c:yVal>
            <c:numRef>
              <c:f>'WC Core Casts'!$B$4:$B$10</c:f>
              <c:numCache>
                <c:formatCode>General</c:formatCode>
                <c:ptCount val="7"/>
                <c:pt idx="0">
                  <c:v>300</c:v>
                </c:pt>
                <c:pt idx="1">
                  <c:v>200</c:v>
                </c:pt>
                <c:pt idx="2">
                  <c:v>175</c:v>
                </c:pt>
                <c:pt idx="3">
                  <c:v>150</c:v>
                </c:pt>
                <c:pt idx="4">
                  <c:v>100</c:v>
                </c:pt>
                <c:pt idx="5">
                  <c:v>75</c:v>
                </c:pt>
                <c:pt idx="6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40-2D4E-8EEB-9CB99EA0DCFA}"/>
            </c:ext>
          </c:extLst>
        </c:ser>
        <c:ser>
          <c:idx val="1"/>
          <c:order val="1"/>
          <c:tx>
            <c:v>PARAGON II Core 1</c:v>
          </c:tx>
          <c:xVal>
            <c:numRef>
              <c:f>'WC Core Casts'!$D$13:$D$22</c:f>
              <c:numCache>
                <c:formatCode>0.00</c:formatCode>
                <c:ptCount val="10"/>
                <c:pt idx="0">
                  <c:v>7.3944005850944211E-2</c:v>
                </c:pt>
                <c:pt idx="1">
                  <c:v>0.12102671978052501</c:v>
                </c:pt>
                <c:pt idx="2">
                  <c:v>0.13913545590728685</c:v>
                </c:pt>
                <c:pt idx="3">
                  <c:v>0.15090613438968203</c:v>
                </c:pt>
                <c:pt idx="4">
                  <c:v>0.20070515873827716</c:v>
                </c:pt>
                <c:pt idx="5">
                  <c:v>0.23918622300764608</c:v>
                </c:pt>
                <c:pt idx="6">
                  <c:v>0.28898524735624115</c:v>
                </c:pt>
                <c:pt idx="7">
                  <c:v>0.60136094554288311</c:v>
                </c:pt>
                <c:pt idx="8">
                  <c:v>0.64663278585978767</c:v>
                </c:pt>
                <c:pt idx="9">
                  <c:v>0.60274204554475341</c:v>
                </c:pt>
              </c:numCache>
            </c:numRef>
          </c:xVal>
          <c:yVal>
            <c:numRef>
              <c:f>'WC Core Casts'!$B$13:$B$22</c:f>
              <c:numCache>
                <c:formatCode>General</c:formatCode>
                <c:ptCount val="10"/>
                <c:pt idx="0">
                  <c:v>300</c:v>
                </c:pt>
                <c:pt idx="1">
                  <c:v>200</c:v>
                </c:pt>
                <c:pt idx="2">
                  <c:v>175</c:v>
                </c:pt>
                <c:pt idx="3">
                  <c:v>150</c:v>
                </c:pt>
                <c:pt idx="4">
                  <c:v>125</c:v>
                </c:pt>
                <c:pt idx="5">
                  <c:v>100</c:v>
                </c:pt>
                <c:pt idx="6">
                  <c:v>75</c:v>
                </c:pt>
                <c:pt idx="7">
                  <c:v>45</c:v>
                </c:pt>
                <c:pt idx="8">
                  <c:v>25</c:v>
                </c:pt>
                <c:pt idx="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40-2D4E-8EEB-9CB99EA0DCFA}"/>
            </c:ext>
          </c:extLst>
        </c:ser>
        <c:ser>
          <c:idx val="2"/>
          <c:order val="2"/>
          <c:tx>
            <c:v>PARAGON II Core 2</c:v>
          </c:tx>
          <c:xVal>
            <c:numRef>
              <c:f>'WC Core Casts'!$D$24:$D$33</c:f>
              <c:numCache>
                <c:formatCode>0.00</c:formatCode>
                <c:ptCount val="10"/>
                <c:pt idx="0">
                  <c:v>8.0885688032869579E-2</c:v>
                </c:pt>
                <c:pt idx="1">
                  <c:v>0.13792820683216941</c:v>
                </c:pt>
                <c:pt idx="2">
                  <c:v>0.15060432212090272</c:v>
                </c:pt>
                <c:pt idx="3">
                  <c:v>0.17957829992372165</c:v>
                </c:pt>
                <c:pt idx="4">
                  <c:v>0.23390450830400719</c:v>
                </c:pt>
                <c:pt idx="5">
                  <c:v>0.2633312045099952</c:v>
                </c:pt>
                <c:pt idx="6">
                  <c:v>0.37424721328641153</c:v>
                </c:pt>
                <c:pt idx="7">
                  <c:v>0.48063603803113741</c:v>
                </c:pt>
                <c:pt idx="8">
                  <c:v>0.56212535060156565</c:v>
                </c:pt>
                <c:pt idx="9">
                  <c:v>0.39235594941317337</c:v>
                </c:pt>
              </c:numCache>
            </c:numRef>
          </c:xVal>
          <c:yVal>
            <c:numRef>
              <c:f>'WC Core Casts'!$B$24:$B$33</c:f>
              <c:numCache>
                <c:formatCode>General</c:formatCode>
                <c:ptCount val="10"/>
                <c:pt idx="0">
                  <c:v>300</c:v>
                </c:pt>
                <c:pt idx="1">
                  <c:v>200</c:v>
                </c:pt>
                <c:pt idx="2">
                  <c:v>175</c:v>
                </c:pt>
                <c:pt idx="3">
                  <c:v>150</c:v>
                </c:pt>
                <c:pt idx="4">
                  <c:v>125</c:v>
                </c:pt>
                <c:pt idx="5">
                  <c:v>100</c:v>
                </c:pt>
                <c:pt idx="6">
                  <c:v>75</c:v>
                </c:pt>
                <c:pt idx="7">
                  <c:v>45</c:v>
                </c:pt>
                <c:pt idx="8">
                  <c:v>25</c:v>
                </c:pt>
                <c:pt idx="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40-2D4E-8EEB-9CB99EA0D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3843903"/>
        <c:axId val="1"/>
      </c:scatterChart>
      <c:valAx>
        <c:axId val="1803843903"/>
        <c:scaling>
          <c:orientation val="minMax"/>
          <c:max val="0.8"/>
          <c:min val="0"/>
        </c:scaling>
        <c:delete val="0"/>
        <c:axPos val="t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 (µmol/L)</a:t>
                </a:r>
              </a:p>
            </c:rich>
          </c:tx>
          <c:layout>
            <c:manualLayout>
              <c:xMode val="edge"/>
              <c:yMode val="edge"/>
              <c:x val="0.40771499903975417"/>
              <c:y val="0.1168385692402784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axMin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Depth (m)</a:t>
                </a:r>
              </a:p>
            </c:rich>
          </c:tx>
          <c:layout>
            <c:manualLayout>
              <c:xMode val="edge"/>
              <c:yMode val="edge"/>
              <c:x val="4.4077395813328209E-2"/>
              <c:y val="0.5180417080970680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3843903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6688197178477695"/>
          <c:y val="0.45644554847310753"/>
          <c:w val="0.30290969488188979"/>
          <c:h val="0.14727768403949507"/>
        </c:manualLayout>
      </c:layout>
      <c:overlay val="0"/>
      <c:txPr>
        <a:bodyPr/>
        <a:lstStyle/>
        <a:p>
          <a:pPr>
            <a:defRPr sz="800" b="1"/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33" r="0.75000000000000133" t="1" header="0.5" footer="0.5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800" b="1" i="0" u="none" strike="noStrike" baseline="0">
                <a:solidFill>
                  <a:srgbClr val="DD0806"/>
                </a:solidFill>
                <a:latin typeface="Arial" pitchFamily="2" charset="0"/>
                <a:cs typeface="Arial" pitchFamily="2" charset="0"/>
              </a:rPr>
              <a:t>PARAGON </a:t>
            </a:r>
            <a:r>
              <a:rPr lang="en-US" sz="800" b="1" i="0" u="none" strike="noStrike" baseline="0">
                <a:solidFill>
                  <a:srgbClr val="000000"/>
                </a:solidFill>
                <a:latin typeface="Arial" pitchFamily="2" charset="0"/>
                <a:cs typeface="Arial" pitchFamily="2" charset="0"/>
              </a:rPr>
              <a:t>PPO4</a:t>
            </a:r>
          </a:p>
        </c:rich>
      </c:tx>
      <c:layout>
        <c:manualLayout>
          <c:xMode val="edge"/>
          <c:yMode val="edge"/>
          <c:x val="0.35521344758375789"/>
          <c:y val="3.25202206866998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395742198891808"/>
          <c:y val="0.23035291315451667"/>
          <c:w val="0.74171754846433668"/>
          <c:h val="0.71273901364280223"/>
        </c:manualLayout>
      </c:layout>
      <c:scatterChart>
        <c:scatterStyle val="lineMarker"/>
        <c:varyColors val="0"/>
        <c:ser>
          <c:idx val="0"/>
          <c:order val="0"/>
          <c:tx>
            <c:v>PARAGON I</c:v>
          </c:tx>
          <c:spPr>
            <a:ln w="12700">
              <a:solidFill>
                <a:srgbClr val="00009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90"/>
                </a:solidFill>
                <a:prstDash val="solid"/>
              </a:ln>
            </c:spPr>
          </c:marker>
          <c:xVal>
            <c:numRef>
              <c:f>'WC Core Casts'!$F$4:$F$10</c:f>
              <c:numCache>
                <c:formatCode>0.0</c:formatCode>
                <c:ptCount val="7"/>
                <c:pt idx="0">
                  <c:v>8.7053872429568386</c:v>
                </c:pt>
                <c:pt idx="1">
                  <c:v>6.4435312419351014</c:v>
                </c:pt>
                <c:pt idx="2">
                  <c:v>7.5468756326774127</c:v>
                </c:pt>
                <c:pt idx="3">
                  <c:v>12.47146943002393</c:v>
                </c:pt>
                <c:pt idx="4">
                  <c:v>16.770834739283139</c:v>
                </c:pt>
                <c:pt idx="5">
                  <c:v>22.706827561476771</c:v>
                </c:pt>
                <c:pt idx="6">
                  <c:v>20.411871228732767</c:v>
                </c:pt>
              </c:numCache>
            </c:numRef>
          </c:xVal>
          <c:yVal>
            <c:numRef>
              <c:f>'WC Core Casts'!$B$4:$B$10</c:f>
              <c:numCache>
                <c:formatCode>General</c:formatCode>
                <c:ptCount val="7"/>
                <c:pt idx="0">
                  <c:v>300</c:v>
                </c:pt>
                <c:pt idx="1">
                  <c:v>200</c:v>
                </c:pt>
                <c:pt idx="2">
                  <c:v>175</c:v>
                </c:pt>
                <c:pt idx="3">
                  <c:v>150</c:v>
                </c:pt>
                <c:pt idx="4">
                  <c:v>100</c:v>
                </c:pt>
                <c:pt idx="5">
                  <c:v>75</c:v>
                </c:pt>
                <c:pt idx="6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3D-0E44-8A7C-9DABB7FD89B9}"/>
            </c:ext>
          </c:extLst>
        </c:ser>
        <c:ser>
          <c:idx val="1"/>
          <c:order val="1"/>
          <c:tx>
            <c:v>PARAGON II Core 1</c:v>
          </c:tx>
          <c:xVal>
            <c:numRef>
              <c:f>'WC Core Casts'!$F$13:$F$22</c:f>
              <c:numCache>
                <c:formatCode>0.0</c:formatCode>
                <c:ptCount val="10"/>
                <c:pt idx="0">
                  <c:v>5.3868569346265094</c:v>
                </c:pt>
                <c:pt idx="1">
                  <c:v>7.3164773291195893</c:v>
                </c:pt>
                <c:pt idx="2">
                  <c:v>8.5882725891263902</c:v>
                </c:pt>
                <c:pt idx="3">
                  <c:v>9.081641439991099</c:v>
                </c:pt>
                <c:pt idx="4">
                  <c:v>11.384029410693067</c:v>
                </c:pt>
                <c:pt idx="5">
                  <c:v>11.438848171900256</c:v>
                </c:pt>
                <c:pt idx="6">
                  <c:v>15.550255262439483</c:v>
                </c:pt>
                <c:pt idx="7">
                  <c:v>26.163167432151418</c:v>
                </c:pt>
                <c:pt idx="8">
                  <c:v>30.132045743551949</c:v>
                </c:pt>
                <c:pt idx="9">
                  <c:v>29.331691829926982</c:v>
                </c:pt>
              </c:numCache>
            </c:numRef>
          </c:xVal>
          <c:yVal>
            <c:numRef>
              <c:f>'WC Core Casts'!$B$13:$B$22</c:f>
              <c:numCache>
                <c:formatCode>General</c:formatCode>
                <c:ptCount val="10"/>
                <c:pt idx="0">
                  <c:v>300</c:v>
                </c:pt>
                <c:pt idx="1">
                  <c:v>200</c:v>
                </c:pt>
                <c:pt idx="2">
                  <c:v>175</c:v>
                </c:pt>
                <c:pt idx="3">
                  <c:v>150</c:v>
                </c:pt>
                <c:pt idx="4">
                  <c:v>125</c:v>
                </c:pt>
                <c:pt idx="5">
                  <c:v>100</c:v>
                </c:pt>
                <c:pt idx="6">
                  <c:v>75</c:v>
                </c:pt>
                <c:pt idx="7">
                  <c:v>45</c:v>
                </c:pt>
                <c:pt idx="8">
                  <c:v>25</c:v>
                </c:pt>
                <c:pt idx="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3D-0E44-8A7C-9DABB7FD89B9}"/>
            </c:ext>
          </c:extLst>
        </c:ser>
        <c:ser>
          <c:idx val="2"/>
          <c:order val="2"/>
          <c:tx>
            <c:v>PARAGON II Core 2</c:v>
          </c:tx>
          <c:xVal>
            <c:numRef>
              <c:f>'WC Core Casts'!$F$24:$F$33</c:f>
              <c:numCache>
                <c:formatCode>0.0</c:formatCode>
                <c:ptCount val="10"/>
                <c:pt idx="0">
                  <c:v>4.104097922378271</c:v>
                </c:pt>
                <c:pt idx="1">
                  <c:v>8.1058674905031207</c:v>
                </c:pt>
                <c:pt idx="2">
                  <c:v>7.9414112068815523</c:v>
                </c:pt>
                <c:pt idx="3">
                  <c:v>7.7111724098113541</c:v>
                </c:pt>
                <c:pt idx="4">
                  <c:v>11.05511684344993</c:v>
                </c:pt>
                <c:pt idx="5">
                  <c:v>15.868204077441186</c:v>
                </c:pt>
                <c:pt idx="6">
                  <c:v>20.034429929187606</c:v>
                </c:pt>
                <c:pt idx="7">
                  <c:v>34.98898798650896</c:v>
                </c:pt>
                <c:pt idx="8">
                  <c:v>41.841333137407673</c:v>
                </c:pt>
                <c:pt idx="9">
                  <c:v>27.084122620432204</c:v>
                </c:pt>
              </c:numCache>
            </c:numRef>
          </c:xVal>
          <c:yVal>
            <c:numRef>
              <c:f>'WC Core Casts'!$B$24:$B$33</c:f>
              <c:numCache>
                <c:formatCode>General</c:formatCode>
                <c:ptCount val="10"/>
                <c:pt idx="0">
                  <c:v>300</c:v>
                </c:pt>
                <c:pt idx="1">
                  <c:v>200</c:v>
                </c:pt>
                <c:pt idx="2">
                  <c:v>175</c:v>
                </c:pt>
                <c:pt idx="3">
                  <c:v>150</c:v>
                </c:pt>
                <c:pt idx="4">
                  <c:v>125</c:v>
                </c:pt>
                <c:pt idx="5">
                  <c:v>100</c:v>
                </c:pt>
                <c:pt idx="6">
                  <c:v>75</c:v>
                </c:pt>
                <c:pt idx="7">
                  <c:v>45</c:v>
                </c:pt>
                <c:pt idx="8">
                  <c:v>25</c:v>
                </c:pt>
                <c:pt idx="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3D-0E44-8A7C-9DABB7FD8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3991711"/>
        <c:axId val="1"/>
      </c:scatterChart>
      <c:valAx>
        <c:axId val="1803991711"/>
        <c:scaling>
          <c:orientation val="minMax"/>
          <c:max val="50"/>
          <c:min val="0"/>
        </c:scaling>
        <c:delete val="0"/>
        <c:axPos val="t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PPO4 (nmol/L)</a:t>
                </a:r>
              </a:p>
            </c:rich>
          </c:tx>
          <c:layout>
            <c:manualLayout>
              <c:xMode val="edge"/>
              <c:yMode val="edge"/>
              <c:x val="0.46491354021923731"/>
              <c:y val="0.1165314157158926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5"/>
      </c:valAx>
      <c:valAx>
        <c:axId val="1"/>
        <c:scaling>
          <c:orientation val="maxMin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Depth (m)</a:t>
                </a:r>
              </a:p>
            </c:rich>
          </c:tx>
          <c:layout>
            <c:manualLayout>
              <c:xMode val="edge"/>
              <c:yMode val="edge"/>
              <c:x val="4.6783618959394778E-2"/>
              <c:y val="0.523036584712625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3991711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1497016746146183"/>
          <c:y val="0.45559384308249401"/>
          <c:w val="0.29488898746811576"/>
          <c:h val="0.15015769269569557"/>
        </c:manualLayout>
      </c:layout>
      <c:overlay val="0"/>
      <c:txPr>
        <a:bodyPr/>
        <a:lstStyle/>
        <a:p>
          <a:pPr>
            <a:defRPr sz="800" b="1"/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33" r="0.75000000000000133" t="1" header="0.5" footer="0.5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800" b="1" i="0" u="none" strike="noStrike" baseline="0">
                <a:solidFill>
                  <a:srgbClr val="DD0806"/>
                </a:solidFill>
                <a:latin typeface="Arial" pitchFamily="2" charset="0"/>
                <a:cs typeface="Arial" pitchFamily="2" charset="0"/>
              </a:rPr>
              <a:t>PARAGON </a:t>
            </a:r>
            <a:r>
              <a:rPr lang="en-US" sz="800" b="1" i="0" u="none" strike="noStrike" baseline="0">
                <a:solidFill>
                  <a:srgbClr val="000000"/>
                </a:solidFill>
                <a:latin typeface="Arial" pitchFamily="2" charset="0"/>
                <a:cs typeface="Arial" pitchFamily="2" charset="0"/>
              </a:rPr>
              <a:t>PC:PPO4</a:t>
            </a:r>
          </a:p>
        </c:rich>
      </c:tx>
      <c:layout>
        <c:manualLayout>
          <c:xMode val="edge"/>
          <c:yMode val="edge"/>
          <c:x val="0.36796436379113545"/>
          <c:y val="3.72550010640561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316026902887139"/>
          <c:y val="0.22394541767550377"/>
          <c:w val="0.74913385826771661"/>
          <c:h val="0.71404124871988006"/>
        </c:manualLayout>
      </c:layout>
      <c:scatterChart>
        <c:scatterStyle val="lineMarker"/>
        <c:varyColors val="0"/>
        <c:ser>
          <c:idx val="0"/>
          <c:order val="0"/>
          <c:tx>
            <c:v>PARAGON I</c:v>
          </c:tx>
          <c:spPr>
            <a:ln w="12700">
              <a:solidFill>
                <a:srgbClr val="00009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90"/>
                </a:solidFill>
                <a:prstDash val="solid"/>
              </a:ln>
            </c:spPr>
          </c:marker>
          <c:xVal>
            <c:numRef>
              <c:f>'WC Core Casts'!$G$4:$G$10</c:f>
              <c:numCache>
                <c:formatCode>0.0</c:formatCode>
                <c:ptCount val="7"/>
                <c:pt idx="0">
                  <c:v>77.019661130986989</c:v>
                </c:pt>
                <c:pt idx="1">
                  <c:v>199.2388482099839</c:v>
                </c:pt>
                <c:pt idx="2">
                  <c:v>180.36542432702794</c:v>
                </c:pt>
                <c:pt idx="3">
                  <c:v>123.67659501637084</c:v>
                </c:pt>
                <c:pt idx="4">
                  <c:v>141.80587325482833</c:v>
                </c:pt>
                <c:pt idx="5">
                  <c:v>122.93319697977989</c:v>
                </c:pt>
                <c:pt idx="6">
                  <c:v>139.08890142852755</c:v>
                </c:pt>
              </c:numCache>
            </c:numRef>
          </c:xVal>
          <c:yVal>
            <c:numRef>
              <c:f>'WC Core Casts'!$B$4:$B$10</c:f>
              <c:numCache>
                <c:formatCode>General</c:formatCode>
                <c:ptCount val="7"/>
                <c:pt idx="0">
                  <c:v>300</c:v>
                </c:pt>
                <c:pt idx="1">
                  <c:v>200</c:v>
                </c:pt>
                <c:pt idx="2">
                  <c:v>175</c:v>
                </c:pt>
                <c:pt idx="3">
                  <c:v>150</c:v>
                </c:pt>
                <c:pt idx="4">
                  <c:v>100</c:v>
                </c:pt>
                <c:pt idx="5">
                  <c:v>75</c:v>
                </c:pt>
                <c:pt idx="6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38-7B44-8C73-ADEFB6C38696}"/>
            </c:ext>
          </c:extLst>
        </c:ser>
        <c:ser>
          <c:idx val="1"/>
          <c:order val="1"/>
          <c:tx>
            <c:v>PARAGON II Core 1</c:v>
          </c:tx>
          <c:xVal>
            <c:numRef>
              <c:f>'WC Core Casts'!$G$13:$G$22</c:f>
              <c:numCache>
                <c:formatCode>0.0</c:formatCode>
                <c:ptCount val="10"/>
                <c:pt idx="0">
                  <c:v>99.963074663947964</c:v>
                </c:pt>
                <c:pt idx="1">
                  <c:v>115.56765891467985</c:v>
                </c:pt>
                <c:pt idx="2">
                  <c:v>104.49539610534727</c:v>
                </c:pt>
                <c:pt idx="3">
                  <c:v>101.24889850294406</c:v>
                </c:pt>
                <c:pt idx="4">
                  <c:v>100.90780170843669</c:v>
                </c:pt>
                <c:pt idx="5">
                  <c:v>123.35817564284969</c:v>
                </c:pt>
                <c:pt idx="6">
                  <c:v>112.90468400908428</c:v>
                </c:pt>
                <c:pt idx="7">
                  <c:v>146.39665532815346</c:v>
                </c:pt>
                <c:pt idx="8">
                  <c:v>190.01752932991977</c:v>
                </c:pt>
                <c:pt idx="9">
                  <c:v>172.06651893277527</c:v>
                </c:pt>
              </c:numCache>
            </c:numRef>
          </c:xVal>
          <c:yVal>
            <c:numRef>
              <c:f>'WC Core Casts'!$B$13:$B$22</c:f>
              <c:numCache>
                <c:formatCode>General</c:formatCode>
                <c:ptCount val="10"/>
                <c:pt idx="0">
                  <c:v>300</c:v>
                </c:pt>
                <c:pt idx="1">
                  <c:v>200</c:v>
                </c:pt>
                <c:pt idx="2">
                  <c:v>175</c:v>
                </c:pt>
                <c:pt idx="3">
                  <c:v>150</c:v>
                </c:pt>
                <c:pt idx="4">
                  <c:v>125</c:v>
                </c:pt>
                <c:pt idx="5">
                  <c:v>100</c:v>
                </c:pt>
                <c:pt idx="6">
                  <c:v>75</c:v>
                </c:pt>
                <c:pt idx="7">
                  <c:v>45</c:v>
                </c:pt>
                <c:pt idx="8">
                  <c:v>25</c:v>
                </c:pt>
                <c:pt idx="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38-7B44-8C73-ADEFB6C38696}"/>
            </c:ext>
          </c:extLst>
        </c:ser>
        <c:ser>
          <c:idx val="2"/>
          <c:order val="2"/>
          <c:tx>
            <c:v>PARAGON II Core 2</c:v>
          </c:tx>
          <c:xVal>
            <c:numRef>
              <c:f>'WC Core Casts'!$G$24:$G$33</c:f>
              <c:numCache>
                <c:formatCode>0.0</c:formatCode>
                <c:ptCount val="10"/>
                <c:pt idx="0">
                  <c:v>165.54989658737645</c:v>
                </c:pt>
                <c:pt idx="1">
                  <c:v>106.27165645209077</c:v>
                </c:pt>
                <c:pt idx="2">
                  <c:v>118.51674713312106</c:v>
                </c:pt>
                <c:pt idx="3">
                  <c:v>138.22455889947611</c:v>
                </c:pt>
                <c:pt idx="4">
                  <c:v>112.57891480686288</c:v>
                </c:pt>
                <c:pt idx="5">
                  <c:v>98.197444183276318</c:v>
                </c:pt>
                <c:pt idx="6">
                  <c:v>118.4612862768803</c:v>
                </c:pt>
                <c:pt idx="7">
                  <c:v>102.69034108215087</c:v>
                </c:pt>
                <c:pt idx="8">
                  <c:v>106.99584992488381</c:v>
                </c:pt>
                <c:pt idx="9">
                  <c:v>104.96195067061278</c:v>
                </c:pt>
              </c:numCache>
            </c:numRef>
          </c:xVal>
          <c:yVal>
            <c:numRef>
              <c:f>'WC Core Casts'!$B$24:$B$33</c:f>
              <c:numCache>
                <c:formatCode>General</c:formatCode>
                <c:ptCount val="10"/>
                <c:pt idx="0">
                  <c:v>300</c:v>
                </c:pt>
                <c:pt idx="1">
                  <c:v>200</c:v>
                </c:pt>
                <c:pt idx="2">
                  <c:v>175</c:v>
                </c:pt>
                <c:pt idx="3">
                  <c:v>150</c:v>
                </c:pt>
                <c:pt idx="4">
                  <c:v>125</c:v>
                </c:pt>
                <c:pt idx="5">
                  <c:v>100</c:v>
                </c:pt>
                <c:pt idx="6">
                  <c:v>75</c:v>
                </c:pt>
                <c:pt idx="7">
                  <c:v>45</c:v>
                </c:pt>
                <c:pt idx="8">
                  <c:v>25</c:v>
                </c:pt>
                <c:pt idx="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38-7B44-8C73-ADEFB6C38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3900767"/>
        <c:axId val="1"/>
      </c:scatterChart>
      <c:valAx>
        <c:axId val="1803900767"/>
        <c:scaling>
          <c:orientation val="minMax"/>
          <c:max val="200"/>
          <c:min val="70"/>
        </c:scaling>
        <c:delete val="0"/>
        <c:axPos val="t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C/P by mole</a:t>
                </a:r>
              </a:p>
            </c:rich>
          </c:tx>
          <c:layout>
            <c:manualLayout>
              <c:xMode val="edge"/>
              <c:yMode val="edge"/>
              <c:x val="0.47135522064655921"/>
              <c:y val="0.1136954671206639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</c:valAx>
      <c:valAx>
        <c:axId val="1"/>
        <c:scaling>
          <c:orientation val="maxMin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Depth (m)</a:t>
                </a:r>
              </a:p>
            </c:rich>
          </c:tx>
          <c:layout>
            <c:manualLayout>
              <c:xMode val="edge"/>
              <c:yMode val="edge"/>
              <c:x val="4.1666698910793394E-2"/>
              <c:y val="0.521965045754415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3900767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33" r="0.75000000000000133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</xdr:colOff>
      <xdr:row>0</xdr:row>
      <xdr:rowOff>81280</xdr:rowOff>
    </xdr:from>
    <xdr:to>
      <xdr:col>16</xdr:col>
      <xdr:colOff>538480</xdr:colOff>
      <xdr:row>21</xdr:row>
      <xdr:rowOff>58420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85B91B-2C87-DA4E-A3DF-7A4775DF9C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60960</xdr:colOff>
      <xdr:row>45</xdr:row>
      <xdr:rowOff>71120</xdr:rowOff>
    </xdr:from>
    <xdr:to>
      <xdr:col>16</xdr:col>
      <xdr:colOff>589280</xdr:colOff>
      <xdr:row>68</xdr:row>
      <xdr:rowOff>119380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753159-77D7-4042-89DB-EBD6851C35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60960</xdr:colOff>
      <xdr:row>21</xdr:row>
      <xdr:rowOff>81280</xdr:rowOff>
    </xdr:from>
    <xdr:to>
      <xdr:col>16</xdr:col>
      <xdr:colOff>558800</xdr:colOff>
      <xdr:row>45</xdr:row>
      <xdr:rowOff>20320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452C1ADE-EEAE-CD41-B0B3-FF46A3BB47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568960</xdr:colOff>
      <xdr:row>0</xdr:row>
      <xdr:rowOff>81280</xdr:rowOff>
    </xdr:from>
    <xdr:to>
      <xdr:col>23</xdr:col>
      <xdr:colOff>383540</xdr:colOff>
      <xdr:row>21</xdr:row>
      <xdr:rowOff>58420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FC3077-989D-C54A-BAD1-4FCDB28493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609600</xdr:colOff>
      <xdr:row>21</xdr:row>
      <xdr:rowOff>91440</xdr:rowOff>
    </xdr:from>
    <xdr:to>
      <xdr:col>23</xdr:col>
      <xdr:colOff>467360</xdr:colOff>
      <xdr:row>44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3E83EC0-F2CF-CB4F-8293-E8B92AF7F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RAGON-II/PII%20Rhea%20W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C Core Casts"/>
      <sheetName val="Underway Size Frac"/>
      <sheetName val="Whole Water"/>
    </sheetNames>
    <sheetDataSet>
      <sheetData sheetId="0">
        <row r="4">
          <cell r="B4">
            <v>300</v>
          </cell>
          <cell r="C4">
            <v>0.67048597546655286</v>
          </cell>
          <cell r="D4">
            <v>8.0518728410185578E-2</v>
          </cell>
          <cell r="E4">
            <v>8.3270810245649223</v>
          </cell>
          <cell r="F4">
            <v>8.7053872429568386</v>
          </cell>
          <cell r="G4">
            <v>77.019661130986989</v>
          </cell>
        </row>
        <row r="5">
          <cell r="B5">
            <v>200</v>
          </cell>
          <cell r="C5">
            <v>1.2838017430481967</v>
          </cell>
          <cell r="D5">
            <v>0.1268321323453675</v>
          </cell>
          <cell r="E5">
            <v>10.122054398268478</v>
          </cell>
          <cell r="F5">
            <v>6.4435312419351014</v>
          </cell>
          <cell r="G5">
            <v>199.2388482099839</v>
          </cell>
        </row>
        <row r="6">
          <cell r="B6">
            <v>175</v>
          </cell>
          <cell r="C6">
            <v>1.3611954258311689</v>
          </cell>
          <cell r="D6">
            <v>0.14681046345466164</v>
          </cell>
          <cell r="E6">
            <v>9.2717875402085124</v>
          </cell>
          <cell r="F6">
            <v>7.5468756326774127</v>
          </cell>
          <cell r="G6">
            <v>180.36542432702794</v>
          </cell>
        </row>
        <row r="7">
          <cell r="B7">
            <v>150</v>
          </cell>
          <cell r="C7">
            <v>1.5424288739561189</v>
          </cell>
          <cell r="D7">
            <v>0.18313470183519651</v>
          </cell>
          <cell r="E7">
            <v>8.4223735780243096</v>
          </cell>
          <cell r="F7">
            <v>12.47146943002393</v>
          </cell>
          <cell r="G7">
            <v>123.67659501637084</v>
          </cell>
        </row>
        <row r="8">
          <cell r="B8">
            <v>100</v>
          </cell>
          <cell r="C8">
            <v>2.3782028654164566</v>
          </cell>
          <cell r="D8">
            <v>0.33524245005368614</v>
          </cell>
          <cell r="E8">
            <v>7.0939788950820768</v>
          </cell>
          <cell r="F8">
            <v>16.770834739283139</v>
          </cell>
          <cell r="G8">
            <v>141.80587325482833</v>
          </cell>
        </row>
        <row r="9">
          <cell r="B9">
            <v>75</v>
          </cell>
          <cell r="C9">
            <v>2.791422905400919</v>
          </cell>
          <cell r="D9">
            <v>0.35340456924395358</v>
          </cell>
          <cell r="E9">
            <v>7.8986610483635609</v>
          </cell>
          <cell r="F9">
            <v>22.706827561476771</v>
          </cell>
          <cell r="G9">
            <v>122.93319697977989</v>
          </cell>
        </row>
        <row r="10">
          <cell r="B10">
            <v>45</v>
          </cell>
          <cell r="C10">
            <v>2.8390647453050093</v>
          </cell>
          <cell r="D10">
            <v>0.36248562883908725</v>
          </cell>
          <cell r="E10">
            <v>7.8322132504880964</v>
          </cell>
          <cell r="F10">
            <v>20.411871228732767</v>
          </cell>
          <cell r="G10">
            <v>139.08890142852755</v>
          </cell>
        </row>
        <row r="13">
          <cell r="B13">
            <v>300</v>
          </cell>
          <cell r="C13">
            <v>0.5384867819600756</v>
          </cell>
          <cell r="D13">
            <v>7.3944005850944211E-2</v>
          </cell>
          <cell r="E13">
            <v>7.2823588033025057</v>
          </cell>
          <cell r="F13">
            <v>5.3868569346265094</v>
          </cell>
          <cell r="G13">
            <v>99.963074663947964</v>
          </cell>
        </row>
        <row r="14">
          <cell r="B14">
            <v>200</v>
          </cell>
          <cell r="C14">
            <v>0.84554815642868053</v>
          </cell>
          <cell r="D14">
            <v>0.12102671978052501</v>
          </cell>
          <cell r="E14">
            <v>6.9864585106663508</v>
          </cell>
          <cell r="F14">
            <v>7.3164773291195893</v>
          </cell>
          <cell r="G14">
            <v>115.56765891467985</v>
          </cell>
        </row>
        <row r="15">
          <cell r="B15">
            <v>175</v>
          </cell>
          <cell r="C15">
            <v>0.89743494606145857</v>
          </cell>
          <cell r="D15">
            <v>0.13913545590728685</v>
          </cell>
          <cell r="E15">
            <v>6.4500808956953852</v>
          </cell>
          <cell r="F15">
            <v>8.5882725891263902</v>
          </cell>
          <cell r="G15">
            <v>104.49539610534727</v>
          </cell>
        </row>
        <row r="16">
          <cell r="B16">
            <v>150</v>
          </cell>
          <cell r="C16">
            <v>0.91950619239778952</v>
          </cell>
          <cell r="D16">
            <v>0.15090613438968203</v>
          </cell>
          <cell r="E16">
            <v>6.0932326980384124</v>
          </cell>
          <cell r="F16">
            <v>9.081641439991099</v>
          </cell>
          <cell r="G16">
            <v>101.24889850294406</v>
          </cell>
        </row>
        <row r="17">
          <cell r="B17">
            <v>125</v>
          </cell>
          <cell r="C17">
            <v>1.1487373824172273</v>
          </cell>
          <cell r="D17">
            <v>0.20070515873827716</v>
          </cell>
          <cell r="E17">
            <v>5.7235070071875924</v>
          </cell>
          <cell r="F17">
            <v>11.384029410693067</v>
          </cell>
          <cell r="G17">
            <v>100.90780170843669</v>
          </cell>
        </row>
        <row r="18">
          <cell r="B18">
            <v>100</v>
          </cell>
          <cell r="C18">
            <v>1.4110754419411617</v>
          </cell>
          <cell r="D18">
            <v>0.23918622300764608</v>
          </cell>
          <cell r="E18">
            <v>5.8994846116034614</v>
          </cell>
          <cell r="F18">
            <v>11.438848171900256</v>
          </cell>
          <cell r="G18">
            <v>123.35817564284969</v>
          </cell>
        </row>
        <row r="19">
          <cell r="B19">
            <v>75</v>
          </cell>
          <cell r="C19">
            <v>1.7556966566663299</v>
          </cell>
          <cell r="D19">
            <v>0.28898524735624115</v>
          </cell>
          <cell r="E19">
            <v>6.075385068020541</v>
          </cell>
          <cell r="F19">
            <v>15.550255262439483</v>
          </cell>
          <cell r="G19">
            <v>112.90468400908428</v>
          </cell>
        </row>
        <row r="20">
          <cell r="B20">
            <v>45</v>
          </cell>
          <cell r="C20">
            <v>3.8302002048574408</v>
          </cell>
          <cell r="D20">
            <v>0.60136094554288311</v>
          </cell>
          <cell r="E20">
            <v>6.3692200719813936</v>
          </cell>
          <cell r="F20">
            <v>26.163167432151418</v>
          </cell>
          <cell r="G20">
            <v>146.39665532815346</v>
          </cell>
        </row>
        <row r="21">
          <cell r="B21">
            <v>25</v>
          </cell>
          <cell r="C21">
            <v>5.7256168858458665</v>
          </cell>
          <cell r="D21">
            <v>0.64663278585978767</v>
          </cell>
          <cell r="E21">
            <v>8.8545106450686184</v>
          </cell>
          <cell r="F21">
            <v>30.132045743551949</v>
          </cell>
          <cell r="G21">
            <v>190.01752932991977</v>
          </cell>
        </row>
        <row r="22">
          <cell r="B22">
            <v>5</v>
          </cell>
          <cell r="C22">
            <v>5.0470021075844604</v>
          </cell>
          <cell r="D22">
            <v>0.60274204554475341</v>
          </cell>
          <cell r="E22">
            <v>8.3734030915713209</v>
          </cell>
          <cell r="F22">
            <v>29.331691829926982</v>
          </cell>
          <cell r="G22">
            <v>172.06651893277527</v>
          </cell>
        </row>
        <row r="24">
          <cell r="B24">
            <v>300</v>
          </cell>
          <cell r="C24">
            <v>0.67943298663418938</v>
          </cell>
          <cell r="D24">
            <v>8.0885688032869579E-2</v>
          </cell>
          <cell r="E24">
            <v>8.3999160192355369</v>
          </cell>
          <cell r="F24">
            <v>4.104097922378271</v>
          </cell>
          <cell r="G24">
            <v>165.54989658737645</v>
          </cell>
        </row>
        <row r="25">
          <cell r="B25">
            <v>200</v>
          </cell>
          <cell r="C25">
            <v>0.86142396519691866</v>
          </cell>
          <cell r="D25">
            <v>0.13792820683216941</v>
          </cell>
          <cell r="E25">
            <v>6.2454517823543991</v>
          </cell>
          <cell r="F25">
            <v>8.1058674905031207</v>
          </cell>
          <cell r="G25">
            <v>106.27165645209077</v>
          </cell>
        </row>
        <row r="26">
          <cell r="B26">
            <v>175</v>
          </cell>
          <cell r="C26">
            <v>0.94119022388611473</v>
          </cell>
          <cell r="D26">
            <v>0.15060432212090272</v>
          </cell>
          <cell r="E26">
            <v>6.2494237259043759</v>
          </cell>
          <cell r="F26">
            <v>7.9414112068815523</v>
          </cell>
          <cell r="G26">
            <v>118.51674713312106</v>
          </cell>
        </row>
        <row r="27">
          <cell r="B27">
            <v>150</v>
          </cell>
          <cell r="C27">
            <v>1.0658734049439846</v>
          </cell>
          <cell r="D27">
            <v>0.17957829992372165</v>
          </cell>
          <cell r="E27">
            <v>5.9354242990201431</v>
          </cell>
          <cell r="F27">
            <v>7.7111724098113541</v>
          </cell>
          <cell r="G27">
            <v>138.22455889947611</v>
          </cell>
        </row>
        <row r="28">
          <cell r="B28">
            <v>125</v>
          </cell>
          <cell r="C28">
            <v>1.2445730572986646</v>
          </cell>
          <cell r="D28">
            <v>0.23390450830400719</v>
          </cell>
          <cell r="E28">
            <v>5.3208596376478772</v>
          </cell>
          <cell r="F28">
            <v>11.05511684344993</v>
          </cell>
          <cell r="G28">
            <v>112.57891480686288</v>
          </cell>
        </row>
        <row r="29">
          <cell r="B29">
            <v>100</v>
          </cell>
          <cell r="C29">
            <v>1.5582170841833685</v>
          </cell>
          <cell r="D29">
            <v>0.2633312045099952</v>
          </cell>
          <cell r="E29">
            <v>5.9173279030219286</v>
          </cell>
          <cell r="F29">
            <v>15.868204077441186</v>
          </cell>
          <cell r="G29">
            <v>98.197444183276318</v>
          </cell>
        </row>
        <row r="30">
          <cell r="B30">
            <v>75</v>
          </cell>
          <cell r="C30">
            <v>2.3733043392355917</v>
          </cell>
          <cell r="D30">
            <v>0.37424721328641153</v>
          </cell>
          <cell r="E30">
            <v>6.3415417803506822</v>
          </cell>
          <cell r="F30">
            <v>20.034429929187606</v>
          </cell>
          <cell r="G30">
            <v>118.4612862768803</v>
          </cell>
        </row>
        <row r="31">
          <cell r="B31">
            <v>45</v>
          </cell>
          <cell r="C31">
            <v>3.5930311104538837</v>
          </cell>
          <cell r="D31">
            <v>0.48063603803113741</v>
          </cell>
          <cell r="E31">
            <v>7.4755757499422328</v>
          </cell>
          <cell r="F31">
            <v>34.98898798650896</v>
          </cell>
          <cell r="G31">
            <v>102.69034108215087</v>
          </cell>
        </row>
        <row r="32">
          <cell r="B32">
            <v>25</v>
          </cell>
          <cell r="C32">
            <v>4.4768490010271389</v>
          </cell>
          <cell r="D32">
            <v>0.56212535060156565</v>
          </cell>
          <cell r="E32">
            <v>7.964147135930058</v>
          </cell>
          <cell r="F32">
            <v>41.841333137407673</v>
          </cell>
          <cell r="G32">
            <v>106.99584992488381</v>
          </cell>
        </row>
        <row r="33">
          <cell r="B33">
            <v>5</v>
          </cell>
          <cell r="C33">
            <v>2.8428023424426327</v>
          </cell>
          <cell r="D33">
            <v>0.39235594941317337</v>
          </cell>
          <cell r="E33">
            <v>7.2454676593905765</v>
          </cell>
          <cell r="F33">
            <v>27.084122620432204</v>
          </cell>
          <cell r="G33">
            <v>104.96195067061278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60A71-E6C3-0744-A35C-9B1CB1768FFF}">
  <dimension ref="A1:H33"/>
  <sheetViews>
    <sheetView tabSelected="1" zoomScale="125" zoomScaleNormal="125" workbookViewId="0">
      <selection activeCell="I12" sqref="I12"/>
    </sheetView>
  </sheetViews>
  <sheetFormatPr baseColWidth="10" defaultColWidth="8.83203125" defaultRowHeight="13" x14ac:dyDescent="0.15"/>
  <cols>
    <col min="1" max="1" width="15.6640625" style="6" customWidth="1"/>
    <col min="2" max="2" width="10.5" style="6" customWidth="1"/>
    <col min="3" max="3" width="9.6640625" style="6" customWidth="1"/>
    <col min="4" max="4" width="9.83203125" style="6" customWidth="1"/>
    <col min="5" max="5" width="11.33203125" style="9" customWidth="1"/>
    <col min="6" max="6" width="10.5" style="10" customWidth="1"/>
    <col min="7" max="7" width="12.33203125" style="6" customWidth="1"/>
    <col min="8" max="16384" width="8.83203125" style="6"/>
  </cols>
  <sheetData>
    <row r="1" spans="1:8" ht="42" x14ac:dyDescent="0.1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</row>
    <row r="2" spans="1:8" x14ac:dyDescent="0.15">
      <c r="A2" s="7"/>
      <c r="B2" s="5"/>
      <c r="C2" s="5"/>
      <c r="E2" s="6"/>
      <c r="F2" s="6"/>
    </row>
    <row r="3" spans="1:8" x14ac:dyDescent="0.15">
      <c r="A3" s="8" t="s">
        <v>8</v>
      </c>
      <c r="G3" s="11"/>
    </row>
    <row r="4" spans="1:8" x14ac:dyDescent="0.15">
      <c r="A4" s="7" t="s">
        <v>30</v>
      </c>
      <c r="B4" s="12">
        <v>300</v>
      </c>
      <c r="C4" s="4">
        <v>0.67048597546655286</v>
      </c>
      <c r="D4" s="4">
        <v>8.0518728410185578E-2</v>
      </c>
      <c r="E4" s="4">
        <v>8.3270810245649223</v>
      </c>
      <c r="F4" s="13">
        <v>8.7053872429568386</v>
      </c>
      <c r="G4" s="13">
        <f>(C4/(F4/1000))</f>
        <v>77.019661130986989</v>
      </c>
      <c r="H4" s="14">
        <f>(D4/(F4/1000))</f>
        <v>9.2492988724114351</v>
      </c>
    </row>
    <row r="5" spans="1:8" x14ac:dyDescent="0.15">
      <c r="A5" s="7" t="s">
        <v>31</v>
      </c>
      <c r="B5" s="12">
        <v>200</v>
      </c>
      <c r="C5" s="4">
        <v>1.2838017430481967</v>
      </c>
      <c r="D5" s="4">
        <v>0.1268321323453675</v>
      </c>
      <c r="E5" s="4">
        <v>10.122054398268478</v>
      </c>
      <c r="F5" s="13">
        <v>6.4435312419351014</v>
      </c>
      <c r="G5" s="13">
        <f t="shared" ref="G5:G10" si="0">(C5/(F5/1000))</f>
        <v>199.2388482099839</v>
      </c>
      <c r="H5" s="14">
        <f t="shared" ref="H5:H10" si="1">(D5/(F5/1000))</f>
        <v>19.683637369511327</v>
      </c>
    </row>
    <row r="6" spans="1:8" x14ac:dyDescent="0.15">
      <c r="A6" s="7" t="s">
        <v>32</v>
      </c>
      <c r="B6" s="12">
        <v>175</v>
      </c>
      <c r="C6" s="4">
        <v>1.3611954258311689</v>
      </c>
      <c r="D6" s="4">
        <v>0.14681046345466164</v>
      </c>
      <c r="E6" s="4">
        <v>9.2717875402085124</v>
      </c>
      <c r="F6" s="13">
        <v>7.5468756326774127</v>
      </c>
      <c r="G6" s="13">
        <f t="shared" si="0"/>
        <v>180.36542432702794</v>
      </c>
      <c r="H6" s="14">
        <f t="shared" si="1"/>
        <v>19.453144665453767</v>
      </c>
    </row>
    <row r="7" spans="1:8" x14ac:dyDescent="0.15">
      <c r="A7" s="7" t="s">
        <v>33</v>
      </c>
      <c r="B7" s="12">
        <v>150</v>
      </c>
      <c r="C7" s="4">
        <v>1.5424288739561189</v>
      </c>
      <c r="D7" s="4">
        <v>0.18313470183519651</v>
      </c>
      <c r="E7" s="4">
        <v>8.4223735780243096</v>
      </c>
      <c r="F7" s="13">
        <v>12.47146943002393</v>
      </c>
      <c r="G7" s="13">
        <f t="shared" si="0"/>
        <v>123.67659501637084</v>
      </c>
      <c r="H7" s="14">
        <f t="shared" si="1"/>
        <v>14.684292245011349</v>
      </c>
    </row>
    <row r="8" spans="1:8" x14ac:dyDescent="0.15">
      <c r="A8" s="7" t="s">
        <v>34</v>
      </c>
      <c r="B8" s="12">
        <v>100</v>
      </c>
      <c r="C8" s="4">
        <v>2.3782028654164566</v>
      </c>
      <c r="D8" s="4">
        <v>0.33524245005368614</v>
      </c>
      <c r="E8" s="4">
        <v>7.0939788950820768</v>
      </c>
      <c r="F8" s="13">
        <v>16.770834739283139</v>
      </c>
      <c r="G8" s="13">
        <f t="shared" si="0"/>
        <v>141.80587325482833</v>
      </c>
      <c r="H8" s="14">
        <f t="shared" si="1"/>
        <v>19.989610252877366</v>
      </c>
    </row>
    <row r="9" spans="1:8" x14ac:dyDescent="0.15">
      <c r="A9" s="7" t="s">
        <v>35</v>
      </c>
      <c r="B9" s="12">
        <v>75</v>
      </c>
      <c r="C9" s="4">
        <v>2.791422905400919</v>
      </c>
      <c r="D9" s="4">
        <v>0.35340456924395358</v>
      </c>
      <c r="E9" s="4">
        <v>7.8986610483635609</v>
      </c>
      <c r="F9" s="13">
        <v>22.706827561476771</v>
      </c>
      <c r="G9" s="13">
        <f t="shared" si="0"/>
        <v>122.93319697977989</v>
      </c>
      <c r="H9" s="14">
        <f t="shared" si="1"/>
        <v>15.563802045316162</v>
      </c>
    </row>
    <row r="10" spans="1:8" x14ac:dyDescent="0.15">
      <c r="A10" s="7" t="s">
        <v>36</v>
      </c>
      <c r="B10" s="12">
        <v>45</v>
      </c>
      <c r="C10" s="4">
        <v>2.8390647453050093</v>
      </c>
      <c r="D10" s="4">
        <v>0.36248562883908725</v>
      </c>
      <c r="E10" s="4">
        <v>7.8322132504880964</v>
      </c>
      <c r="F10" s="13">
        <v>20.411871228732767</v>
      </c>
      <c r="G10" s="13">
        <f t="shared" si="0"/>
        <v>139.08890142852755</v>
      </c>
      <c r="H10" s="14">
        <f t="shared" si="1"/>
        <v>17.758569254975232</v>
      </c>
    </row>
    <row r="11" spans="1:8" x14ac:dyDescent="0.15">
      <c r="A11" s="7"/>
      <c r="B11" s="5"/>
      <c r="C11" s="4"/>
      <c r="D11" s="4"/>
      <c r="E11" s="4"/>
      <c r="F11" s="4"/>
    </row>
    <row r="12" spans="1:8" x14ac:dyDescent="0.15">
      <c r="A12" s="8" t="s">
        <v>9</v>
      </c>
      <c r="B12" s="7"/>
      <c r="C12" s="4"/>
      <c r="D12" s="4"/>
      <c r="F12" s="4"/>
    </row>
    <row r="13" spans="1:8" x14ac:dyDescent="0.15">
      <c r="A13" s="15" t="s">
        <v>10</v>
      </c>
      <c r="B13" s="12">
        <v>300</v>
      </c>
      <c r="C13" s="16">
        <v>0.5384867819600756</v>
      </c>
      <c r="D13" s="4">
        <v>7.3944005850944211E-2</v>
      </c>
      <c r="E13" s="4">
        <v>7.2823588033025057</v>
      </c>
      <c r="F13" s="13">
        <v>5.3868569346265094</v>
      </c>
      <c r="G13" s="13">
        <f>(C13/(F13/1000))</f>
        <v>99.963074663947964</v>
      </c>
      <c r="H13" s="14">
        <f>(D13/(F13/1000))</f>
        <v>13.726743952607128</v>
      </c>
    </row>
    <row r="14" spans="1:8" x14ac:dyDescent="0.15">
      <c r="A14" s="15" t="s">
        <v>11</v>
      </c>
      <c r="B14" s="12">
        <v>200</v>
      </c>
      <c r="C14" s="16">
        <v>0.84554815642868053</v>
      </c>
      <c r="D14" s="4">
        <v>0.12102671978052501</v>
      </c>
      <c r="E14" s="4">
        <v>6.9864585106663508</v>
      </c>
      <c r="F14" s="13">
        <v>7.3164773291195893</v>
      </c>
      <c r="G14" s="13">
        <f t="shared" ref="G14:G22" si="2">(C14/(F14/1000))</f>
        <v>115.56765891467985</v>
      </c>
      <c r="H14" s="14">
        <f t="shared" ref="H14:H22" si="3">(D14/(F14/1000))</f>
        <v>16.541665385723061</v>
      </c>
    </row>
    <row r="15" spans="1:8" x14ac:dyDescent="0.15">
      <c r="A15" s="15" t="s">
        <v>12</v>
      </c>
      <c r="B15" s="12">
        <v>175</v>
      </c>
      <c r="C15" s="16">
        <v>0.89743494606145857</v>
      </c>
      <c r="D15" s="4">
        <v>0.13913545590728685</v>
      </c>
      <c r="E15" s="4">
        <v>6.4500808956953852</v>
      </c>
      <c r="F15" s="13">
        <v>8.5882725891263902</v>
      </c>
      <c r="G15" s="13">
        <f t="shared" si="2"/>
        <v>104.49539610534727</v>
      </c>
      <c r="H15" s="14">
        <f t="shared" si="3"/>
        <v>16.200633417649808</v>
      </c>
    </row>
    <row r="16" spans="1:8" x14ac:dyDescent="0.15">
      <c r="A16" s="15" t="s">
        <v>13</v>
      </c>
      <c r="B16" s="12">
        <v>150</v>
      </c>
      <c r="C16" s="16">
        <v>0.91950619239778952</v>
      </c>
      <c r="D16" s="4">
        <v>0.15090613438968203</v>
      </c>
      <c r="E16" s="4">
        <v>6.0932326980384124</v>
      </c>
      <c r="F16" s="13">
        <v>9.081641439991099</v>
      </c>
      <c r="G16" s="13">
        <f t="shared" si="2"/>
        <v>101.24889850294406</v>
      </c>
      <c r="H16" s="14">
        <f t="shared" si="3"/>
        <v>16.616614450903707</v>
      </c>
    </row>
    <row r="17" spans="1:8" x14ac:dyDescent="0.15">
      <c r="A17" s="15" t="s">
        <v>14</v>
      </c>
      <c r="B17" s="12">
        <v>125</v>
      </c>
      <c r="C17" s="16">
        <v>1.1487373824172273</v>
      </c>
      <c r="D17" s="4">
        <v>0.20070515873827716</v>
      </c>
      <c r="E17" s="4">
        <v>5.7235070071875924</v>
      </c>
      <c r="F17" s="13">
        <v>11.384029410693067</v>
      </c>
      <c r="G17" s="13">
        <f t="shared" si="2"/>
        <v>100.90780170843669</v>
      </c>
      <c r="H17" s="14">
        <f t="shared" si="3"/>
        <v>17.630414635941992</v>
      </c>
    </row>
    <row r="18" spans="1:8" x14ac:dyDescent="0.15">
      <c r="A18" s="15" t="s">
        <v>15</v>
      </c>
      <c r="B18" s="12">
        <v>100</v>
      </c>
      <c r="C18" s="16">
        <v>1.4110754419411617</v>
      </c>
      <c r="D18" s="4">
        <v>0.23918622300764608</v>
      </c>
      <c r="E18" s="4">
        <v>5.8994846116034614</v>
      </c>
      <c r="F18" s="13">
        <v>11.438848171900256</v>
      </c>
      <c r="G18" s="13">
        <f t="shared" si="2"/>
        <v>123.35817564284969</v>
      </c>
      <c r="H18" s="14">
        <f t="shared" si="3"/>
        <v>20.909991933909176</v>
      </c>
    </row>
    <row r="19" spans="1:8" x14ac:dyDescent="0.15">
      <c r="A19" s="15" t="s">
        <v>16</v>
      </c>
      <c r="B19" s="12">
        <v>75</v>
      </c>
      <c r="C19" s="16">
        <v>1.7556966566663299</v>
      </c>
      <c r="D19" s="4">
        <v>0.28898524735624115</v>
      </c>
      <c r="E19" s="4">
        <v>6.075385068020541</v>
      </c>
      <c r="F19" s="13">
        <v>15.550255262439483</v>
      </c>
      <c r="G19" s="13">
        <f t="shared" si="2"/>
        <v>112.90468400908428</v>
      </c>
      <c r="H19" s="14">
        <f t="shared" si="3"/>
        <v>18.583955213536854</v>
      </c>
    </row>
    <row r="20" spans="1:8" x14ac:dyDescent="0.15">
      <c r="A20" s="15" t="s">
        <v>17</v>
      </c>
      <c r="B20" s="12">
        <v>45</v>
      </c>
      <c r="C20" s="16">
        <v>3.8302002048574408</v>
      </c>
      <c r="D20" s="4">
        <v>0.60136094554288311</v>
      </c>
      <c r="E20" s="4">
        <v>6.3692200719813936</v>
      </c>
      <c r="F20" s="13">
        <v>26.163167432151418</v>
      </c>
      <c r="G20" s="13">
        <f t="shared" si="2"/>
        <v>146.39665532815346</v>
      </c>
      <c r="H20" s="14">
        <f t="shared" si="3"/>
        <v>22.98502072053715</v>
      </c>
    </row>
    <row r="21" spans="1:8" x14ac:dyDescent="0.15">
      <c r="A21" s="15" t="s">
        <v>18</v>
      </c>
      <c r="B21" s="12">
        <v>25</v>
      </c>
      <c r="C21" s="16">
        <v>5.7256168858458665</v>
      </c>
      <c r="D21" s="4">
        <v>0.64663278585978767</v>
      </c>
      <c r="E21" s="4">
        <v>8.8545106450686184</v>
      </c>
      <c r="F21" s="13">
        <v>30.132045743551949</v>
      </c>
      <c r="G21" s="13">
        <f t="shared" si="2"/>
        <v>190.01752932991977</v>
      </c>
      <c r="H21" s="14">
        <f t="shared" si="3"/>
        <v>21.459969607213367</v>
      </c>
    </row>
    <row r="22" spans="1:8" x14ac:dyDescent="0.15">
      <c r="A22" s="15" t="s">
        <v>19</v>
      </c>
      <c r="B22" s="12">
        <v>5</v>
      </c>
      <c r="C22" s="16">
        <v>5.0470021075844604</v>
      </c>
      <c r="D22" s="4">
        <v>0.60274204554475341</v>
      </c>
      <c r="E22" s="4">
        <v>8.3734030915713209</v>
      </c>
      <c r="F22" s="13">
        <v>29.331691829926982</v>
      </c>
      <c r="G22" s="13">
        <f t="shared" si="2"/>
        <v>172.06651893277527</v>
      </c>
      <c r="H22" s="14">
        <f t="shared" si="3"/>
        <v>20.54917421878061</v>
      </c>
    </row>
    <row r="23" spans="1:8" x14ac:dyDescent="0.15">
      <c r="A23" s="17"/>
      <c r="B23" s="12"/>
      <c r="C23" s="16"/>
      <c r="D23" s="4"/>
      <c r="E23" s="4"/>
    </row>
    <row r="24" spans="1:8" x14ac:dyDescent="0.15">
      <c r="A24" s="15" t="s">
        <v>20</v>
      </c>
      <c r="B24" s="12">
        <v>300</v>
      </c>
      <c r="C24" s="16">
        <v>0.67943298663418938</v>
      </c>
      <c r="D24" s="4">
        <v>8.0885688032869579E-2</v>
      </c>
      <c r="E24" s="4">
        <v>8.3999160192355369</v>
      </c>
      <c r="F24" s="13">
        <v>4.104097922378271</v>
      </c>
      <c r="G24" s="13">
        <f>(C24/(F24/1000))</f>
        <v>165.54989658737645</v>
      </c>
      <c r="H24" s="14">
        <f>(D24/(F24/1000))</f>
        <v>19.708518062355925</v>
      </c>
    </row>
    <row r="25" spans="1:8" x14ac:dyDescent="0.15">
      <c r="A25" s="15" t="s">
        <v>21</v>
      </c>
      <c r="B25" s="12">
        <v>200</v>
      </c>
      <c r="C25" s="16">
        <v>0.86142396519691866</v>
      </c>
      <c r="D25" s="4">
        <v>0.13792820683216941</v>
      </c>
      <c r="E25" s="4">
        <v>6.2454517823543991</v>
      </c>
      <c r="F25" s="13">
        <v>8.1058674905031207</v>
      </c>
      <c r="G25" s="13">
        <f t="shared" ref="G25:G33" si="4">(C25/(F25/1000))</f>
        <v>106.27165645209077</v>
      </c>
      <c r="H25" s="14">
        <f t="shared" ref="H25:H33" si="5">(D25/(F25/1000))</f>
        <v>17.015847716949096</v>
      </c>
    </row>
    <row r="26" spans="1:8" x14ac:dyDescent="0.15">
      <c r="A26" s="15" t="s">
        <v>22</v>
      </c>
      <c r="B26" s="12">
        <v>175</v>
      </c>
      <c r="C26" s="18">
        <v>0.94119022388611473</v>
      </c>
      <c r="D26" s="4">
        <v>0.15060432212090272</v>
      </c>
      <c r="E26" s="4">
        <v>6.2494237259043759</v>
      </c>
      <c r="F26" s="13">
        <v>7.9414112068815523</v>
      </c>
      <c r="G26" s="13">
        <f t="shared" si="4"/>
        <v>118.51674713312106</v>
      </c>
      <c r="H26" s="14">
        <f t="shared" si="5"/>
        <v>18.964428134686944</v>
      </c>
    </row>
    <row r="27" spans="1:8" x14ac:dyDescent="0.15">
      <c r="A27" s="15" t="s">
        <v>23</v>
      </c>
      <c r="B27" s="12">
        <v>150</v>
      </c>
      <c r="C27" s="16">
        <v>1.0658734049439846</v>
      </c>
      <c r="D27" s="4">
        <v>0.17957829992372165</v>
      </c>
      <c r="E27" s="4">
        <v>5.9354242990201431</v>
      </c>
      <c r="F27" s="13">
        <v>7.7111724098113541</v>
      </c>
      <c r="G27" s="13">
        <f t="shared" si="4"/>
        <v>138.22455889947611</v>
      </c>
      <c r="H27" s="14">
        <f t="shared" si="5"/>
        <v>23.288067025350671</v>
      </c>
    </row>
    <row r="28" spans="1:8" x14ac:dyDescent="0.15">
      <c r="A28" s="15" t="s">
        <v>24</v>
      </c>
      <c r="B28" s="12">
        <v>125</v>
      </c>
      <c r="C28" s="16">
        <v>1.2445730572986646</v>
      </c>
      <c r="D28" s="4">
        <v>0.23390450830400719</v>
      </c>
      <c r="E28" s="4">
        <v>5.3208596376478772</v>
      </c>
      <c r="F28" s="13">
        <v>11.05511684344993</v>
      </c>
      <c r="G28" s="13">
        <f t="shared" si="4"/>
        <v>112.57891480686288</v>
      </c>
      <c r="H28" s="14">
        <f t="shared" si="5"/>
        <v>21.1580313095102</v>
      </c>
    </row>
    <row r="29" spans="1:8" x14ac:dyDescent="0.15">
      <c r="A29" s="15" t="s">
        <v>25</v>
      </c>
      <c r="B29" s="12">
        <v>100</v>
      </c>
      <c r="C29" s="16">
        <v>1.5582170841833685</v>
      </c>
      <c r="D29" s="4">
        <v>0.2633312045099952</v>
      </c>
      <c r="E29" s="4">
        <v>5.9173279030219286</v>
      </c>
      <c r="F29" s="13">
        <v>15.868204077441186</v>
      </c>
      <c r="G29" s="13">
        <f t="shared" si="4"/>
        <v>98.197444183276318</v>
      </c>
      <c r="H29" s="14">
        <f t="shared" si="5"/>
        <v>16.594896512854682</v>
      </c>
    </row>
    <row r="30" spans="1:8" x14ac:dyDescent="0.15">
      <c r="A30" s="15" t="s">
        <v>26</v>
      </c>
      <c r="B30" s="12">
        <v>75</v>
      </c>
      <c r="C30" s="16">
        <v>2.3733043392355917</v>
      </c>
      <c r="D30" s="4">
        <v>0.37424721328641153</v>
      </c>
      <c r="E30" s="4">
        <v>6.3415417803506822</v>
      </c>
      <c r="F30" s="13">
        <v>20.034429929187606</v>
      </c>
      <c r="G30" s="13">
        <f t="shared" si="4"/>
        <v>118.4612862768803</v>
      </c>
      <c r="H30" s="14">
        <f t="shared" si="5"/>
        <v>18.68020276140631</v>
      </c>
    </row>
    <row r="31" spans="1:8" x14ac:dyDescent="0.15">
      <c r="A31" s="15" t="s">
        <v>27</v>
      </c>
      <c r="B31" s="12">
        <v>45</v>
      </c>
      <c r="C31" s="16">
        <v>3.5930311104538837</v>
      </c>
      <c r="D31" s="4">
        <v>0.48063603803113741</v>
      </c>
      <c r="E31" s="4">
        <v>7.4755757499422328</v>
      </c>
      <c r="F31" s="13">
        <v>34.98898798650896</v>
      </c>
      <c r="G31" s="13">
        <f t="shared" si="4"/>
        <v>102.69034108215087</v>
      </c>
      <c r="H31" s="14">
        <f t="shared" si="5"/>
        <v>13.736780218292136</v>
      </c>
    </row>
    <row r="32" spans="1:8" x14ac:dyDescent="0.15">
      <c r="A32" s="15" t="s">
        <v>28</v>
      </c>
      <c r="B32" s="12">
        <v>25</v>
      </c>
      <c r="C32" s="16">
        <v>4.4768490010271389</v>
      </c>
      <c r="D32" s="4">
        <v>0.56212535060156565</v>
      </c>
      <c r="E32" s="4">
        <v>7.964147135930058</v>
      </c>
      <c r="F32" s="13">
        <v>41.841333137407673</v>
      </c>
      <c r="G32" s="13">
        <f t="shared" si="4"/>
        <v>106.99584992488381</v>
      </c>
      <c r="H32" s="14">
        <f t="shared" si="5"/>
        <v>13.434690256056999</v>
      </c>
    </row>
    <row r="33" spans="1:8" x14ac:dyDescent="0.15">
      <c r="A33" s="15" t="s">
        <v>29</v>
      </c>
      <c r="B33" s="12">
        <v>5</v>
      </c>
      <c r="C33" s="16">
        <v>2.8428023424426327</v>
      </c>
      <c r="D33" s="4">
        <v>0.39235594941317337</v>
      </c>
      <c r="E33" s="4">
        <v>7.2454676593905765</v>
      </c>
      <c r="F33" s="13">
        <v>27.084122620432204</v>
      </c>
      <c r="G33" s="13">
        <f t="shared" si="4"/>
        <v>104.96195067061278</v>
      </c>
      <c r="H33" s="14">
        <f t="shared" si="5"/>
        <v>14.486566720724447</v>
      </c>
    </row>
  </sheetData>
  <pageMargins left="0.75" right="0.75" top="1" bottom="1" header="0.5" footer="0.5"/>
  <pageSetup scale="60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WC Core Casts</vt:lpstr>
      <vt:lpstr>'WC Core Casts'!Print_Area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2025-05-28T19:56:44Z</dcterms:created>
  <dcterms:modified xsi:type="dcterms:W3CDTF">2025-05-28T20:02:45Z</dcterms:modified>
</cp:coreProperties>
</file>